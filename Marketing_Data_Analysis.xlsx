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tables/table1.xml" ContentType="application/vnd.openxmlformats-officedocument.spreadsheetml.table+xml"/>
  <Override PartName="/xl/queryTables/queryTable1.xml" ContentType="application/vnd.openxmlformats-officedocument.spreadsheetml.queryTable+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2.xml" ContentType="application/vnd.openxmlformats-officedocument.drawing+xml"/>
  <Override PartName="/xl/slicers/slicer2.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hidePivotFieldList="1" defaultThemeVersion="166925"/>
  <mc:AlternateContent xmlns:mc="http://schemas.openxmlformats.org/markup-compatibility/2006">
    <mc:Choice Requires="x15">
      <x15ac:absPath xmlns:x15ac="http://schemas.microsoft.com/office/spreadsheetml/2010/11/ac" url="https://d.docs.live.net/92c3dae09deb7d60/Documents/"/>
    </mc:Choice>
  </mc:AlternateContent>
  <xr:revisionPtr revIDLastSave="2" documentId="8_{88017B6F-5CB8-4402-9D5F-02E564C62CC4}" xr6:coauthVersionLast="47" xr6:coauthVersionMax="47" xr10:uidLastSave="{040FC305-0197-4ADC-9323-E64F8A660084}"/>
  <bookViews>
    <workbookView xWindow="-108" yWindow="-108" windowWidth="23256" windowHeight="12456" tabRatio="602" activeTab="1" xr2:uid="{01964802-35E9-4D8E-B4CC-D55E491A4E4F}"/>
  </bookViews>
  <sheets>
    <sheet name="Marketing_data" sheetId="2" r:id="rId1"/>
    <sheet name="Dashboard" sheetId="1" r:id="rId2"/>
  </sheets>
  <definedNames>
    <definedName name="ExternalData_1" localSheetId="0" hidden="1">Marketing_data!$A$1:$V$101</definedName>
    <definedName name="Slicer_Ad_display_time">#N/A</definedName>
    <definedName name="Slicer_Advertising_placement">#N/A</definedName>
    <definedName name="Slicer_Targeting_type">#N/A</definedName>
    <definedName name="Slicer_User_device">#N/A</definedName>
  </definedNames>
  <calcPr calcId="191029"/>
  <pivotCaches>
    <pivotCache cacheId="0" r:id="rId3"/>
  </pivotCaches>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4"/>
        <x14:slicerCache r:id="rId5"/>
        <x14:slicerCache r:id="rId6"/>
        <x14:slicerCache r:id="rId7"/>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C8" i="2" l="1"/>
  <c r="BC7" i="2"/>
  <c r="BC6" i="2"/>
  <c r="BC5" i="2"/>
  <c r="AH12" i="2"/>
  <c r="AD2" i="2" a="1"/>
  <c r="AD2" i="2" s="1"/>
  <c r="AD3" i="2" a="1"/>
  <c r="AD3" i="2" s="1"/>
  <c r="AD4" i="2" a="1"/>
  <c r="AD4" i="2" s="1"/>
  <c r="AD5" i="2" a="1"/>
  <c r="AD5" i="2" s="1"/>
  <c r="AD6" i="2" a="1"/>
  <c r="AD6" i="2" s="1"/>
  <c r="AD7" i="2" a="1"/>
  <c r="AD7" i="2" s="1"/>
  <c r="AD8" i="2" a="1"/>
  <c r="AD8" i="2" s="1"/>
  <c r="AD9" i="2" a="1"/>
  <c r="AD9" i="2" s="1"/>
  <c r="AD10" i="2" a="1"/>
  <c r="AD10" i="2" s="1"/>
  <c r="AD11" i="2" a="1"/>
  <c r="AD11" i="2" s="1"/>
  <c r="AD12" i="2" a="1"/>
  <c r="AD12" i="2" s="1"/>
  <c r="AD13" i="2" a="1"/>
  <c r="AD13" i="2" s="1"/>
  <c r="AD14" i="2" a="1"/>
  <c r="AD14" i="2" s="1"/>
  <c r="AD15" i="2" a="1"/>
  <c r="AD15" i="2" s="1"/>
  <c r="AD16" i="2" a="1"/>
  <c r="AD16" i="2" s="1"/>
  <c r="AD17" i="2" a="1"/>
  <c r="AD17" i="2" s="1"/>
  <c r="AD18" i="2" a="1"/>
  <c r="AD18" i="2" s="1"/>
  <c r="AD19" i="2" a="1"/>
  <c r="AD19" i="2" s="1"/>
  <c r="AD20" i="2" a="1"/>
  <c r="AD20" i="2" s="1"/>
  <c r="AD21" i="2" a="1"/>
  <c r="AD21" i="2" s="1"/>
  <c r="AD22" i="2" a="1"/>
  <c r="AD22" i="2" s="1"/>
  <c r="AD23" i="2" a="1"/>
  <c r="AD23" i="2" s="1"/>
  <c r="AD24" i="2" a="1"/>
  <c r="AD24" i="2" s="1"/>
  <c r="AD25" i="2" a="1"/>
  <c r="AD25" i="2" s="1"/>
  <c r="AD26" i="2" a="1"/>
  <c r="AD26" i="2" s="1"/>
  <c r="AD27" i="2" a="1"/>
  <c r="AD27" i="2" s="1"/>
  <c r="AD28" i="2" a="1"/>
  <c r="AD28" i="2" s="1"/>
  <c r="AD29" i="2" a="1"/>
  <c r="AD29" i="2" s="1"/>
  <c r="AD30" i="2" a="1"/>
  <c r="AD30" i="2" s="1"/>
  <c r="AD31" i="2" a="1"/>
  <c r="AD31" i="2" s="1"/>
  <c r="AD32" i="2" a="1"/>
  <c r="AD32" i="2" s="1"/>
  <c r="AD33" i="2" a="1"/>
  <c r="AD33" i="2" s="1"/>
  <c r="AD34" i="2" a="1"/>
  <c r="AD34" i="2" s="1"/>
  <c r="AD35" i="2" a="1"/>
  <c r="AD35" i="2" s="1"/>
  <c r="AD36" i="2" a="1"/>
  <c r="AD36" i="2" s="1"/>
  <c r="AD37" i="2" a="1"/>
  <c r="AD37" i="2" s="1"/>
  <c r="AD38" i="2" a="1"/>
  <c r="AD38" i="2" s="1"/>
  <c r="AD39" i="2" a="1"/>
  <c r="AD39" i="2" s="1"/>
  <c r="AD40" i="2" a="1"/>
  <c r="AD40" i="2" s="1"/>
  <c r="AD41" i="2" a="1"/>
  <c r="AD41" i="2" s="1"/>
  <c r="AD42" i="2" a="1"/>
  <c r="AD42" i="2" s="1"/>
  <c r="AD43" i="2" a="1"/>
  <c r="AD43" i="2" s="1"/>
  <c r="AD44" i="2" a="1"/>
  <c r="AD44" i="2" s="1"/>
  <c r="AD45" i="2" a="1"/>
  <c r="AD45" i="2" s="1"/>
  <c r="AD46" i="2" a="1"/>
  <c r="AD46" i="2" s="1"/>
  <c r="AD47" i="2" a="1"/>
  <c r="AD47" i="2" s="1"/>
  <c r="AD48" i="2" a="1"/>
  <c r="AD48" i="2" s="1"/>
  <c r="AD49" i="2" a="1"/>
  <c r="AD49" i="2" s="1"/>
  <c r="AD50" i="2" a="1"/>
  <c r="AD50" i="2" s="1"/>
  <c r="AD51" i="2" a="1"/>
  <c r="AD51" i="2" s="1"/>
  <c r="AD52" i="2" a="1"/>
  <c r="AD52" i="2" s="1"/>
  <c r="AD53" i="2" a="1"/>
  <c r="AD53" i="2" s="1"/>
  <c r="AD54" i="2" a="1"/>
  <c r="AD54" i="2" s="1"/>
  <c r="AD55" i="2" a="1"/>
  <c r="AD55" i="2" s="1"/>
  <c r="AD56" i="2" a="1"/>
  <c r="AD56" i="2" s="1"/>
  <c r="AD57" i="2" a="1"/>
  <c r="AD57" i="2" s="1"/>
  <c r="AD58" i="2" a="1"/>
  <c r="AD58" i="2" s="1"/>
  <c r="AD59" i="2" a="1"/>
  <c r="AD59" i="2" s="1"/>
  <c r="AD60" i="2" a="1"/>
  <c r="AD60" i="2" s="1"/>
  <c r="AD61" i="2" a="1"/>
  <c r="AD61" i="2" s="1"/>
  <c r="AD62" i="2" a="1"/>
  <c r="AD62" i="2" s="1"/>
  <c r="AD63" i="2" a="1"/>
  <c r="AD63" i="2" s="1"/>
  <c r="AD64" i="2" a="1"/>
  <c r="AD64" i="2" s="1"/>
  <c r="AD65" i="2" a="1"/>
  <c r="AD65" i="2" s="1"/>
  <c r="AD66" i="2" a="1"/>
  <c r="AD66" i="2" s="1"/>
  <c r="AD67" i="2" a="1"/>
  <c r="AD67" i="2" s="1"/>
  <c r="AD68" i="2" a="1"/>
  <c r="AD68" i="2" s="1"/>
  <c r="AD69" i="2" a="1"/>
  <c r="AD69" i="2" s="1"/>
  <c r="AD70" i="2" a="1"/>
  <c r="AD70" i="2" s="1"/>
  <c r="AD71" i="2" a="1"/>
  <c r="AD71" i="2" s="1"/>
  <c r="AD72" i="2" a="1"/>
  <c r="AD72" i="2" s="1"/>
  <c r="AD73" i="2" a="1"/>
  <c r="AD73" i="2" s="1"/>
  <c r="AD74" i="2" a="1"/>
  <c r="AD74" i="2" s="1"/>
  <c r="AD75" i="2" a="1"/>
  <c r="AD75" i="2" s="1"/>
  <c r="AD76" i="2" a="1"/>
  <c r="AD76" i="2" s="1"/>
  <c r="AD77" i="2" a="1"/>
  <c r="AD77" i="2" s="1"/>
  <c r="AD78" i="2" a="1"/>
  <c r="AD78" i="2" s="1"/>
  <c r="AD79" i="2" a="1"/>
  <c r="AD79" i="2" s="1"/>
  <c r="AD80" i="2" a="1"/>
  <c r="AD80" i="2" s="1"/>
  <c r="AD81" i="2" a="1"/>
  <c r="AD81" i="2" s="1"/>
  <c r="AD82" i="2" a="1"/>
  <c r="AD82" i="2" s="1"/>
  <c r="AD83" i="2" a="1"/>
  <c r="AD83" i="2" s="1"/>
  <c r="AD84" i="2" a="1"/>
  <c r="AD84" i="2" s="1"/>
  <c r="AD85" i="2" a="1"/>
  <c r="AD85" i="2" s="1"/>
  <c r="AD86" i="2" a="1"/>
  <c r="AD86" i="2" s="1"/>
  <c r="AD87" i="2" a="1"/>
  <c r="AD87" i="2" s="1"/>
  <c r="AD88" i="2" a="1"/>
  <c r="AD88" i="2" s="1"/>
  <c r="AD89" i="2" a="1"/>
  <c r="AD89" i="2" s="1"/>
  <c r="AD90" i="2" a="1"/>
  <c r="AD90" i="2" s="1"/>
  <c r="AD91" i="2" a="1"/>
  <c r="AD91" i="2" s="1"/>
  <c r="AD92" i="2" a="1"/>
  <c r="AD92" i="2" s="1"/>
  <c r="AD93" i="2" a="1"/>
  <c r="AD93" i="2" s="1"/>
  <c r="AD94" i="2" a="1"/>
  <c r="AD94" i="2" s="1"/>
  <c r="AD95" i="2" a="1"/>
  <c r="AD95" i="2" s="1"/>
  <c r="AD96" i="2" a="1"/>
  <c r="AD96" i="2" s="1"/>
  <c r="AD97" i="2" a="1"/>
  <c r="AD97" i="2" s="1"/>
  <c r="AD98" i="2" a="1"/>
  <c r="AD98" i="2" s="1"/>
  <c r="AD99" i="2" a="1"/>
  <c r="AD99" i="2" s="1"/>
  <c r="AD100" i="2" a="1"/>
  <c r="AD100" i="2" s="1"/>
  <c r="AD101" i="2" a="1"/>
  <c r="AD101" i="2" s="1"/>
  <c r="AC2" i="2"/>
  <c r="AC3" i="2"/>
  <c r="AC4" i="2"/>
  <c r="AC5" i="2"/>
  <c r="AC6" i="2"/>
  <c r="AC7" i="2"/>
  <c r="AC8" i="2"/>
  <c r="AC9" i="2"/>
  <c r="AC10" i="2"/>
  <c r="AC11" i="2"/>
  <c r="AC12" i="2"/>
  <c r="AC13" i="2"/>
  <c r="AC14" i="2"/>
  <c r="AC15" i="2"/>
  <c r="AC16" i="2"/>
  <c r="AC17" i="2"/>
  <c r="AC18" i="2"/>
  <c r="AC19" i="2"/>
  <c r="AC20" i="2"/>
  <c r="AC21" i="2"/>
  <c r="AC22" i="2"/>
  <c r="AC23" i="2"/>
  <c r="AC24" i="2"/>
  <c r="AC25" i="2"/>
  <c r="AC26" i="2"/>
  <c r="AC27" i="2"/>
  <c r="AC28" i="2"/>
  <c r="AC29" i="2"/>
  <c r="AC30" i="2"/>
  <c r="AC31" i="2"/>
  <c r="AC32" i="2"/>
  <c r="AC33" i="2"/>
  <c r="AC34" i="2"/>
  <c r="AC35" i="2"/>
  <c r="AC36" i="2"/>
  <c r="AC37" i="2"/>
  <c r="AC38" i="2"/>
  <c r="AC39" i="2"/>
  <c r="AC40" i="2"/>
  <c r="AC41" i="2"/>
  <c r="AC42" i="2"/>
  <c r="AC43" i="2"/>
  <c r="AC44" i="2"/>
  <c r="AC45" i="2"/>
  <c r="AC46" i="2"/>
  <c r="AC47" i="2"/>
  <c r="AC48" i="2"/>
  <c r="AC49" i="2"/>
  <c r="AC50" i="2"/>
  <c r="AC51" i="2"/>
  <c r="AC52" i="2"/>
  <c r="AC53" i="2"/>
  <c r="AC54" i="2"/>
  <c r="AC55" i="2"/>
  <c r="AC56" i="2"/>
  <c r="AC57" i="2"/>
  <c r="AC58" i="2"/>
  <c r="AC59" i="2"/>
  <c r="AC60" i="2"/>
  <c r="AC61" i="2"/>
  <c r="AC62" i="2"/>
  <c r="AC63" i="2"/>
  <c r="AC64" i="2"/>
  <c r="AC65" i="2"/>
  <c r="AC66" i="2"/>
  <c r="AC67" i="2"/>
  <c r="AC68" i="2"/>
  <c r="AC69" i="2"/>
  <c r="AC70" i="2"/>
  <c r="AC71" i="2"/>
  <c r="AC72" i="2"/>
  <c r="AC73" i="2"/>
  <c r="AC74" i="2"/>
  <c r="AC75" i="2"/>
  <c r="AC76" i="2"/>
  <c r="AC77" i="2"/>
  <c r="AC78" i="2"/>
  <c r="AC79" i="2"/>
  <c r="AC80" i="2"/>
  <c r="AC81" i="2"/>
  <c r="AC82" i="2"/>
  <c r="AC83" i="2"/>
  <c r="AC84" i="2"/>
  <c r="AC85" i="2"/>
  <c r="AC86" i="2"/>
  <c r="AC87" i="2"/>
  <c r="AC88" i="2"/>
  <c r="AC89" i="2"/>
  <c r="AC90" i="2"/>
  <c r="AC91" i="2"/>
  <c r="AC92" i="2"/>
  <c r="AC93" i="2"/>
  <c r="AC94" i="2"/>
  <c r="AC95" i="2"/>
  <c r="AC96" i="2"/>
  <c r="AC97" i="2"/>
  <c r="AC98" i="2"/>
  <c r="AC99" i="2"/>
  <c r="AC100" i="2"/>
  <c r="AC101" i="2"/>
  <c r="AH11" i="2"/>
  <c r="AH10" i="2"/>
  <c r="AH9" i="2"/>
  <c r="AH8" i="2"/>
  <c r="AH7" i="2"/>
  <c r="AB2" i="2"/>
  <c r="AB3" i="2"/>
  <c r="AB4" i="2"/>
  <c r="AB5" i="2"/>
  <c r="AB6" i="2"/>
  <c r="AB7" i="2"/>
  <c r="AB8" i="2"/>
  <c r="AB9" i="2"/>
  <c r="AB10" i="2"/>
  <c r="AB11" i="2"/>
  <c r="AB12" i="2"/>
  <c r="AB13" i="2"/>
  <c r="AB14" i="2"/>
  <c r="AB15" i="2"/>
  <c r="AB16" i="2"/>
  <c r="AB17" i="2"/>
  <c r="AB18" i="2"/>
  <c r="AB19" i="2"/>
  <c r="AB20" i="2"/>
  <c r="AB21" i="2"/>
  <c r="AB22" i="2"/>
  <c r="AB23" i="2"/>
  <c r="AB24" i="2"/>
  <c r="AB25" i="2"/>
  <c r="AB26" i="2"/>
  <c r="AB27" i="2"/>
  <c r="AB28" i="2"/>
  <c r="AB29" i="2"/>
  <c r="AB30" i="2"/>
  <c r="AB31" i="2"/>
  <c r="AB32" i="2"/>
  <c r="AB33" i="2"/>
  <c r="AB34" i="2"/>
  <c r="AB35" i="2"/>
  <c r="AB36" i="2"/>
  <c r="AB37" i="2"/>
  <c r="AB38" i="2"/>
  <c r="AB39" i="2"/>
  <c r="AB40" i="2"/>
  <c r="AB41" i="2"/>
  <c r="AB42" i="2"/>
  <c r="AB43" i="2"/>
  <c r="AB44" i="2"/>
  <c r="AB45" i="2"/>
  <c r="AB46" i="2"/>
  <c r="AB47" i="2"/>
  <c r="AB48" i="2"/>
  <c r="AB49" i="2"/>
  <c r="AB50" i="2"/>
  <c r="AB51" i="2"/>
  <c r="AB52" i="2"/>
  <c r="AB53" i="2"/>
  <c r="AB54" i="2"/>
  <c r="AB55" i="2"/>
  <c r="AB56" i="2"/>
  <c r="AB57" i="2"/>
  <c r="AB58" i="2"/>
  <c r="AB59" i="2"/>
  <c r="AB60" i="2"/>
  <c r="AB61" i="2"/>
  <c r="AB62" i="2"/>
  <c r="AB63" i="2"/>
  <c r="AB64" i="2"/>
  <c r="AB65" i="2"/>
  <c r="AB66" i="2"/>
  <c r="AB67" i="2"/>
  <c r="AB68" i="2"/>
  <c r="AB69" i="2"/>
  <c r="AB70" i="2"/>
  <c r="AB71" i="2"/>
  <c r="AB72" i="2"/>
  <c r="AB73" i="2"/>
  <c r="AB74" i="2"/>
  <c r="AB75" i="2"/>
  <c r="AB76" i="2"/>
  <c r="AB77" i="2"/>
  <c r="AB78" i="2"/>
  <c r="AB79" i="2"/>
  <c r="AB80" i="2"/>
  <c r="AB81" i="2"/>
  <c r="AB82" i="2"/>
  <c r="AB83" i="2"/>
  <c r="AB84" i="2"/>
  <c r="AB85" i="2"/>
  <c r="AB86" i="2"/>
  <c r="AB87" i="2"/>
  <c r="AB88" i="2"/>
  <c r="AB89" i="2"/>
  <c r="AB90" i="2"/>
  <c r="AB91" i="2"/>
  <c r="AB92" i="2"/>
  <c r="AB93" i="2"/>
  <c r="AB94" i="2"/>
  <c r="AB95" i="2"/>
  <c r="AB96" i="2"/>
  <c r="AB97" i="2"/>
  <c r="AB98" i="2"/>
  <c r="AB99" i="2"/>
  <c r="AB100" i="2"/>
  <c r="AB101" i="2"/>
  <c r="AA2" i="2"/>
  <c r="AA3" i="2"/>
  <c r="AA4" i="2"/>
  <c r="AA5" i="2"/>
  <c r="AA6" i="2"/>
  <c r="AA7" i="2"/>
  <c r="AA8" i="2"/>
  <c r="AA9" i="2"/>
  <c r="AA10" i="2"/>
  <c r="AA11" i="2"/>
  <c r="AA12" i="2"/>
  <c r="AA13" i="2"/>
  <c r="AA14" i="2"/>
  <c r="AA15" i="2"/>
  <c r="AA16" i="2"/>
  <c r="AA17" i="2"/>
  <c r="AA18" i="2"/>
  <c r="AA19" i="2"/>
  <c r="AA20" i="2"/>
  <c r="AA21" i="2"/>
  <c r="AA22" i="2"/>
  <c r="AA23" i="2"/>
  <c r="AA24" i="2"/>
  <c r="AA25" i="2"/>
  <c r="AA26" i="2"/>
  <c r="AA27" i="2"/>
  <c r="AA28" i="2"/>
  <c r="AA29" i="2"/>
  <c r="AA30" i="2"/>
  <c r="AA31" i="2"/>
  <c r="AA32" i="2"/>
  <c r="AA33" i="2"/>
  <c r="AA34" i="2"/>
  <c r="AA35" i="2"/>
  <c r="AA36" i="2"/>
  <c r="AA37" i="2"/>
  <c r="AA38" i="2"/>
  <c r="AA39" i="2"/>
  <c r="AA40" i="2"/>
  <c r="AA41" i="2"/>
  <c r="AA42" i="2"/>
  <c r="AA43" i="2"/>
  <c r="AA44" i="2"/>
  <c r="AA45" i="2"/>
  <c r="AA46" i="2"/>
  <c r="AA47" i="2"/>
  <c r="AA48" i="2"/>
  <c r="AA49" i="2"/>
  <c r="AA50" i="2"/>
  <c r="AA51" i="2"/>
  <c r="AA52" i="2"/>
  <c r="AA53" i="2"/>
  <c r="AA54" i="2"/>
  <c r="AA55" i="2"/>
  <c r="AA56" i="2"/>
  <c r="AA57" i="2"/>
  <c r="AA58" i="2"/>
  <c r="AA59" i="2"/>
  <c r="AA60" i="2"/>
  <c r="AA61" i="2"/>
  <c r="AA62" i="2"/>
  <c r="AA63" i="2"/>
  <c r="AA64" i="2"/>
  <c r="AA65" i="2"/>
  <c r="AA66" i="2"/>
  <c r="AA67" i="2"/>
  <c r="AA68" i="2"/>
  <c r="AA69" i="2"/>
  <c r="AA70" i="2"/>
  <c r="AA71" i="2"/>
  <c r="AA72" i="2"/>
  <c r="AA73" i="2"/>
  <c r="AA74" i="2"/>
  <c r="AA75" i="2"/>
  <c r="AA76" i="2"/>
  <c r="AA77" i="2"/>
  <c r="AA78" i="2"/>
  <c r="AA79" i="2"/>
  <c r="AA80" i="2"/>
  <c r="AA81" i="2"/>
  <c r="AA82" i="2"/>
  <c r="AA83" i="2"/>
  <c r="AA84" i="2"/>
  <c r="AA85" i="2"/>
  <c r="AA86" i="2"/>
  <c r="AA87" i="2"/>
  <c r="AA88" i="2"/>
  <c r="AA89" i="2"/>
  <c r="AA90" i="2"/>
  <c r="AA91" i="2"/>
  <c r="AA92" i="2"/>
  <c r="AA93" i="2"/>
  <c r="AA94" i="2"/>
  <c r="AA95" i="2"/>
  <c r="AA96" i="2"/>
  <c r="AA97" i="2"/>
  <c r="AA98" i="2"/>
  <c r="AA99" i="2"/>
  <c r="AA100" i="2"/>
  <c r="AA101" i="2"/>
  <c r="Z2" i="2"/>
  <c r="Z3" i="2"/>
  <c r="Z4" i="2"/>
  <c r="Z5" i="2"/>
  <c r="Z6" i="2"/>
  <c r="Z7" i="2"/>
  <c r="Z8" i="2"/>
  <c r="Z9" i="2"/>
  <c r="Z10" i="2"/>
  <c r="Z11" i="2"/>
  <c r="Z12" i="2"/>
  <c r="Z13" i="2"/>
  <c r="Z14" i="2"/>
  <c r="Z15" i="2"/>
  <c r="Z16" i="2"/>
  <c r="Z17" i="2"/>
  <c r="Z18" i="2"/>
  <c r="Z19" i="2"/>
  <c r="Z20" i="2"/>
  <c r="Z21" i="2"/>
  <c r="Z22" i="2"/>
  <c r="Z23" i="2"/>
  <c r="Z24" i="2"/>
  <c r="Z25" i="2"/>
  <c r="Z26" i="2"/>
  <c r="Z27" i="2"/>
  <c r="Z28" i="2"/>
  <c r="Z29" i="2"/>
  <c r="Z30" i="2"/>
  <c r="Z31" i="2"/>
  <c r="Z32" i="2"/>
  <c r="Z33" i="2"/>
  <c r="Z34" i="2"/>
  <c r="Z35" i="2"/>
  <c r="Z36" i="2"/>
  <c r="Z37" i="2"/>
  <c r="Z38" i="2"/>
  <c r="Z39" i="2"/>
  <c r="Z40" i="2"/>
  <c r="Z41" i="2"/>
  <c r="Z42" i="2"/>
  <c r="Z43" i="2"/>
  <c r="Z44" i="2"/>
  <c r="Z45" i="2"/>
  <c r="Z46" i="2"/>
  <c r="Z47" i="2"/>
  <c r="Z48" i="2"/>
  <c r="Z49" i="2"/>
  <c r="Z50" i="2"/>
  <c r="Z51" i="2"/>
  <c r="Z52" i="2"/>
  <c r="Z53" i="2"/>
  <c r="Z54" i="2"/>
  <c r="Z55" i="2"/>
  <c r="Z56" i="2"/>
  <c r="Z57" i="2"/>
  <c r="Z58" i="2"/>
  <c r="Z59" i="2"/>
  <c r="Z60" i="2"/>
  <c r="Z61" i="2"/>
  <c r="Z62" i="2"/>
  <c r="Z63" i="2"/>
  <c r="Z64" i="2"/>
  <c r="Z65" i="2"/>
  <c r="Z66" i="2"/>
  <c r="Z67" i="2"/>
  <c r="Z68" i="2"/>
  <c r="Z69" i="2"/>
  <c r="Z70" i="2"/>
  <c r="Z71" i="2"/>
  <c r="Z72" i="2"/>
  <c r="Z73" i="2"/>
  <c r="Z74" i="2"/>
  <c r="Z75" i="2"/>
  <c r="Z76" i="2"/>
  <c r="Z77" i="2"/>
  <c r="Z78" i="2"/>
  <c r="Z79" i="2"/>
  <c r="Z80" i="2"/>
  <c r="Z81" i="2"/>
  <c r="Z82" i="2"/>
  <c r="Z83" i="2"/>
  <c r="Z84" i="2"/>
  <c r="Z85" i="2"/>
  <c r="Z86" i="2"/>
  <c r="Z87" i="2"/>
  <c r="Z88" i="2"/>
  <c r="Z89" i="2"/>
  <c r="Z90" i="2"/>
  <c r="Z91" i="2"/>
  <c r="Z92" i="2"/>
  <c r="Z93" i="2"/>
  <c r="Z94" i="2"/>
  <c r="Z95" i="2"/>
  <c r="Z96" i="2"/>
  <c r="Z97" i="2"/>
  <c r="Z98" i="2"/>
  <c r="Z99" i="2"/>
  <c r="Z100" i="2"/>
  <c r="Z101" i="2"/>
  <c r="Y2" i="2"/>
  <c r="Y3" i="2"/>
  <c r="Y4" i="2"/>
  <c r="Y5" i="2"/>
  <c r="Y6" i="2"/>
  <c r="Y7" i="2"/>
  <c r="Y8" i="2"/>
  <c r="Y9" i="2"/>
  <c r="Y10" i="2"/>
  <c r="Y11" i="2"/>
  <c r="Y12" i="2"/>
  <c r="Y13" i="2"/>
  <c r="Y14" i="2"/>
  <c r="Y15" i="2"/>
  <c r="Y16" i="2"/>
  <c r="Y17" i="2"/>
  <c r="Y18" i="2"/>
  <c r="Y19" i="2"/>
  <c r="Y20" i="2"/>
  <c r="Y21" i="2"/>
  <c r="Y22" i="2"/>
  <c r="Y23" i="2"/>
  <c r="Y24" i="2"/>
  <c r="Y25" i="2"/>
  <c r="Y26" i="2"/>
  <c r="Y27" i="2"/>
  <c r="Y28" i="2"/>
  <c r="Y29" i="2"/>
  <c r="Y30" i="2"/>
  <c r="Y31" i="2"/>
  <c r="Y32" i="2"/>
  <c r="Y33" i="2"/>
  <c r="Y34" i="2"/>
  <c r="Y35" i="2"/>
  <c r="Y36" i="2"/>
  <c r="Y37" i="2"/>
  <c r="Y38" i="2"/>
  <c r="Y39" i="2"/>
  <c r="Y40" i="2"/>
  <c r="Y41" i="2"/>
  <c r="Y42" i="2"/>
  <c r="Y43" i="2"/>
  <c r="Y44" i="2"/>
  <c r="Y45" i="2"/>
  <c r="Y46" i="2"/>
  <c r="Y47" i="2"/>
  <c r="Y48" i="2"/>
  <c r="Y49" i="2"/>
  <c r="Y50" i="2"/>
  <c r="Y51" i="2"/>
  <c r="Y52" i="2"/>
  <c r="Y53" i="2"/>
  <c r="Y54" i="2"/>
  <c r="Y55" i="2"/>
  <c r="Y56" i="2"/>
  <c r="Y57" i="2"/>
  <c r="Y58" i="2"/>
  <c r="Y59" i="2"/>
  <c r="Y60" i="2"/>
  <c r="Y61" i="2"/>
  <c r="Y62" i="2"/>
  <c r="Y63" i="2"/>
  <c r="Y64" i="2"/>
  <c r="Y65" i="2"/>
  <c r="Y66" i="2"/>
  <c r="Y67" i="2"/>
  <c r="Y68" i="2"/>
  <c r="Y69" i="2"/>
  <c r="Y70" i="2"/>
  <c r="Y71" i="2"/>
  <c r="Y72" i="2"/>
  <c r="Y73" i="2"/>
  <c r="Y74" i="2"/>
  <c r="Y75" i="2"/>
  <c r="Y76" i="2"/>
  <c r="Y77" i="2"/>
  <c r="Y78" i="2"/>
  <c r="Y79" i="2"/>
  <c r="Y80" i="2"/>
  <c r="Y81" i="2"/>
  <c r="Y82" i="2"/>
  <c r="Y83" i="2"/>
  <c r="Y84" i="2"/>
  <c r="Y85" i="2"/>
  <c r="Y86" i="2"/>
  <c r="Y87" i="2"/>
  <c r="Y88" i="2"/>
  <c r="Y89" i="2"/>
  <c r="Y90" i="2"/>
  <c r="Y91" i="2"/>
  <c r="Y92" i="2"/>
  <c r="Y93" i="2"/>
  <c r="Y94" i="2"/>
  <c r="Y95" i="2"/>
  <c r="Y96" i="2"/>
  <c r="Y97" i="2"/>
  <c r="Y98" i="2"/>
  <c r="Y99" i="2"/>
  <c r="Y100" i="2"/>
  <c r="Y101" i="2"/>
  <c r="X2" i="2"/>
  <c r="X3" i="2"/>
  <c r="X4" i="2"/>
  <c r="X5" i="2"/>
  <c r="X6" i="2"/>
  <c r="X7" i="2"/>
  <c r="X8" i="2"/>
  <c r="X9" i="2"/>
  <c r="X10" i="2"/>
  <c r="X11" i="2"/>
  <c r="X12" i="2"/>
  <c r="X13" i="2"/>
  <c r="X14" i="2"/>
  <c r="X15" i="2"/>
  <c r="X16" i="2"/>
  <c r="X17" i="2"/>
  <c r="X18" i="2"/>
  <c r="X19" i="2"/>
  <c r="X20" i="2"/>
  <c r="X21" i="2"/>
  <c r="X22" i="2"/>
  <c r="X23" i="2"/>
  <c r="X24" i="2"/>
  <c r="X25" i="2"/>
  <c r="X26" i="2"/>
  <c r="X27" i="2"/>
  <c r="X28" i="2"/>
  <c r="X29" i="2"/>
  <c r="X30" i="2"/>
  <c r="X31" i="2"/>
  <c r="X32" i="2"/>
  <c r="X33" i="2"/>
  <c r="X34" i="2"/>
  <c r="X35" i="2"/>
  <c r="X36" i="2"/>
  <c r="X37" i="2"/>
  <c r="X38" i="2"/>
  <c r="X39" i="2"/>
  <c r="X40" i="2"/>
  <c r="X41" i="2"/>
  <c r="X42" i="2"/>
  <c r="X43" i="2"/>
  <c r="X44" i="2"/>
  <c r="X45" i="2"/>
  <c r="X46" i="2"/>
  <c r="X47" i="2"/>
  <c r="X48" i="2"/>
  <c r="X49" i="2"/>
  <c r="X50" i="2"/>
  <c r="X51" i="2"/>
  <c r="X52" i="2"/>
  <c r="X53" i="2"/>
  <c r="X54" i="2"/>
  <c r="X55" i="2"/>
  <c r="X56" i="2"/>
  <c r="X57" i="2"/>
  <c r="X58" i="2"/>
  <c r="X59" i="2"/>
  <c r="X60" i="2"/>
  <c r="X61" i="2"/>
  <c r="X62" i="2"/>
  <c r="X63" i="2"/>
  <c r="X64" i="2"/>
  <c r="X65" i="2"/>
  <c r="X66" i="2"/>
  <c r="X67" i="2"/>
  <c r="X68" i="2"/>
  <c r="X69" i="2"/>
  <c r="X70" i="2"/>
  <c r="X71" i="2"/>
  <c r="X72" i="2"/>
  <c r="X73" i="2"/>
  <c r="X74" i="2"/>
  <c r="X75" i="2"/>
  <c r="X76" i="2"/>
  <c r="X77" i="2"/>
  <c r="X78" i="2"/>
  <c r="X79" i="2"/>
  <c r="X80" i="2"/>
  <c r="X81" i="2"/>
  <c r="X82" i="2"/>
  <c r="X83" i="2"/>
  <c r="X84" i="2"/>
  <c r="X85" i="2"/>
  <c r="X86" i="2"/>
  <c r="X87" i="2"/>
  <c r="X88" i="2"/>
  <c r="X89" i="2"/>
  <c r="X90" i="2"/>
  <c r="X91" i="2"/>
  <c r="X92" i="2"/>
  <c r="X93" i="2"/>
  <c r="X94" i="2"/>
  <c r="X95" i="2"/>
  <c r="X96" i="2"/>
  <c r="X97" i="2"/>
  <c r="X98" i="2"/>
  <c r="X99" i="2"/>
  <c r="X100" i="2"/>
  <c r="X101" i="2"/>
  <c r="W2" i="2"/>
  <c r="W3" i="2"/>
  <c r="W4" i="2"/>
  <c r="W5" i="2"/>
  <c r="W6" i="2"/>
  <c r="W7" i="2"/>
  <c r="W8" i="2"/>
  <c r="W9" i="2"/>
  <c r="W10" i="2"/>
  <c r="W11" i="2"/>
  <c r="W12" i="2"/>
  <c r="W13" i="2"/>
  <c r="W14" i="2"/>
  <c r="W15" i="2"/>
  <c r="W16" i="2"/>
  <c r="W17" i="2"/>
  <c r="W18" i="2"/>
  <c r="W19" i="2"/>
  <c r="W20" i="2"/>
  <c r="W21" i="2"/>
  <c r="W22" i="2"/>
  <c r="W23" i="2"/>
  <c r="W24" i="2"/>
  <c r="W25" i="2"/>
  <c r="W26" i="2"/>
  <c r="W27" i="2"/>
  <c r="W28" i="2"/>
  <c r="W29" i="2"/>
  <c r="W30" i="2"/>
  <c r="W31" i="2"/>
  <c r="W32" i="2"/>
  <c r="W33" i="2"/>
  <c r="W34" i="2"/>
  <c r="W35" i="2"/>
  <c r="W36" i="2"/>
  <c r="W37" i="2"/>
  <c r="W38" i="2"/>
  <c r="W39" i="2"/>
  <c r="W40" i="2"/>
  <c r="W41" i="2"/>
  <c r="W42" i="2"/>
  <c r="W43" i="2"/>
  <c r="W44" i="2"/>
  <c r="W45" i="2"/>
  <c r="W46" i="2"/>
  <c r="W47" i="2"/>
  <c r="W48" i="2"/>
  <c r="W49" i="2"/>
  <c r="W50" i="2"/>
  <c r="W51" i="2"/>
  <c r="W52" i="2"/>
  <c r="W53" i="2"/>
  <c r="W54" i="2"/>
  <c r="W55" i="2"/>
  <c r="W56" i="2"/>
  <c r="W57" i="2"/>
  <c r="W58" i="2"/>
  <c r="W59" i="2"/>
  <c r="W60" i="2"/>
  <c r="W61" i="2"/>
  <c r="W62" i="2"/>
  <c r="W63" i="2"/>
  <c r="W64" i="2"/>
  <c r="W65" i="2"/>
  <c r="W66" i="2"/>
  <c r="W67" i="2"/>
  <c r="W68" i="2"/>
  <c r="W69" i="2"/>
  <c r="W70" i="2"/>
  <c r="W71" i="2"/>
  <c r="W72" i="2"/>
  <c r="W73" i="2"/>
  <c r="W74" i="2"/>
  <c r="W75" i="2"/>
  <c r="W76" i="2"/>
  <c r="W77" i="2"/>
  <c r="W78" i="2"/>
  <c r="W79" i="2"/>
  <c r="W80" i="2"/>
  <c r="W81" i="2"/>
  <c r="W82" i="2"/>
  <c r="W83" i="2"/>
  <c r="W84" i="2"/>
  <c r="W85" i="2"/>
  <c r="W86" i="2"/>
  <c r="W87" i="2"/>
  <c r="W88" i="2"/>
  <c r="W89" i="2"/>
  <c r="W90" i="2"/>
  <c r="W91" i="2"/>
  <c r="W92" i="2"/>
  <c r="W93" i="2"/>
  <c r="W94" i="2"/>
  <c r="W95" i="2"/>
  <c r="W96" i="2"/>
  <c r="W97" i="2"/>
  <c r="W98" i="2"/>
  <c r="W99" i="2"/>
  <c r="W100" i="2"/>
  <c r="W101"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70A4B98-8056-484C-BCE9-D56363FFEF11}" keepAlive="1" name="Query - Marketing_data" description="Connection to the 'Marketing_data' query in the workbook." type="5" refreshedVersion="7" background="1" saveData="1">
    <dbPr connection="Provider=Microsoft.Mashup.OleDb.1;Data Source=$Workbook$;Location=Marketing_data;Extended Properties=&quot;&quot;" command="SELECT * FROM [Marketing_data]"/>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<sst xmlns="http://schemas.openxmlformats.org/spreadsheetml/2006/main" count="699" uniqueCount="73">
  <si>
    <t>Ad_Impressions</t>
  </si>
  <si>
    <t>CTR</t>
  </si>
  <si>
    <t>Clicks</t>
  </si>
  <si>
    <t>Site_Conversion</t>
  </si>
  <si>
    <t>Leads</t>
  </si>
  <si>
    <t>Sales_conversion</t>
  </si>
  <si>
    <t>Number_of_clients</t>
  </si>
  <si>
    <t>Average_check</t>
  </si>
  <si>
    <t>Revenue</t>
  </si>
  <si>
    <t>Cost_price</t>
  </si>
  <si>
    <t>Advertising_budget</t>
  </si>
  <si>
    <t>CPC</t>
  </si>
  <si>
    <t>Cost_per_lead</t>
  </si>
  <si>
    <t>Customer_price</t>
  </si>
  <si>
    <t>Net_profit</t>
  </si>
  <si>
    <t>ROI</t>
  </si>
  <si>
    <t>Selling_text_scheme</t>
  </si>
  <si>
    <t>Ad_display_time</t>
  </si>
  <si>
    <t>Targeting_type</t>
  </si>
  <si>
    <t>Advertising_placement</t>
  </si>
  <si>
    <t>User_device</t>
  </si>
  <si>
    <t>Advertising_design_method</t>
  </si>
  <si>
    <t>PAS</t>
  </si>
  <si>
    <t>SCH</t>
  </si>
  <si>
    <t>AIDA</t>
  </si>
  <si>
    <t>PHMS</t>
  </si>
  <si>
    <t>Small</t>
  </si>
  <si>
    <t>Medium</t>
  </si>
  <si>
    <t>Large</t>
  </si>
  <si>
    <t>Long</t>
  </si>
  <si>
    <t>Contextual</t>
  </si>
  <si>
    <t>Time-based</t>
  </si>
  <si>
    <t>Geographic</t>
  </si>
  <si>
    <t>Behavioral</t>
  </si>
  <si>
    <t>News Feed</t>
  </si>
  <si>
    <t>Messenger</t>
  </si>
  <si>
    <t>Stories</t>
  </si>
  <si>
    <t>Laptop</t>
  </si>
  <si>
    <t>Smartphone</t>
  </si>
  <si>
    <t>Tablet</t>
  </si>
  <si>
    <t>PC</t>
  </si>
  <si>
    <t>Post</t>
  </si>
  <si>
    <t>Images</t>
  </si>
  <si>
    <t>Carousel</t>
  </si>
  <si>
    <t>CTR (Click Through Rate)</t>
  </si>
  <si>
    <t>CTR (Click Through Rate)2</t>
  </si>
  <si>
    <t>Cost Per Click</t>
  </si>
  <si>
    <t>Cost Per Lead</t>
  </si>
  <si>
    <t>Profit</t>
  </si>
  <si>
    <t>ROI2</t>
  </si>
  <si>
    <t>Revenue by Device(VLOOKUP)</t>
  </si>
  <si>
    <t>Revenue by Device(HLOOKUP)</t>
  </si>
  <si>
    <t>Revenue by Device(XLOOKUP)</t>
  </si>
  <si>
    <t>Position of Value</t>
  </si>
  <si>
    <t>ROI3</t>
  </si>
  <si>
    <t>ROI4</t>
  </si>
  <si>
    <t>Total revenue by device</t>
  </si>
  <si>
    <t>Row Labels</t>
  </si>
  <si>
    <t>Grand Total</t>
  </si>
  <si>
    <t>Sum of Revenue</t>
  </si>
  <si>
    <t>Sum of Clicks</t>
  </si>
  <si>
    <t>Sum of Leads</t>
  </si>
  <si>
    <t>Sum of CTR</t>
  </si>
  <si>
    <t>Sum of ROI</t>
  </si>
  <si>
    <t>Sum of Sales_conversion</t>
  </si>
  <si>
    <t>Sum of Net_profit</t>
  </si>
  <si>
    <t>Sum of Advertising_budget</t>
  </si>
  <si>
    <t>Total Revenue</t>
  </si>
  <si>
    <t>Total Clicks</t>
  </si>
  <si>
    <t>Total Leads</t>
  </si>
  <si>
    <t>Average ROI</t>
  </si>
  <si>
    <t>Top KPIs</t>
  </si>
  <si>
    <t>Charts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</si>
</sst>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quot;* #,##0.00_);_(&quot;$&quot;* \(#,##0.00\);_(&quot;$&quot;* &quot;-&quot;??_);_(@_)"/>
  </numFmts>
  <fonts count="7" x14ac:knownFonts="1">
    <font>
      <sz val="11"/>
      <color theme="1"/>
      <name val="Calibri"/>
      <family val="2"/>
      <scheme val="minor"/>
    </font>
    <font>
      <sz val="11"/>
      <color theme="1"/>
      <name val="Calibri"/>
      <family val="2"/>
      <scheme val="minor"/>
    </font>
    <font>
      <sz val="8"/>
      <name val="Calibri"/>
      <family val="2"/>
      <scheme val="minor"/>
    </font>
    <font>
      <sz val="11"/>
      <color theme="4"/>
      <name val="Calibri"/>
      <family val="2"/>
      <scheme val="minor"/>
    </font>
    <font>
      <b/>
      <sz val="11"/>
      <color theme="4"/>
      <name val="Calibri"/>
      <family val="2"/>
      <scheme val="minor"/>
    </font>
    <font>
      <b/>
      <sz val="18"/>
      <color theme="4"/>
      <name val="Calibri"/>
      <family val="2"/>
      <scheme val="minor"/>
    </font>
    <font>
      <b/>
      <sz val="22"/>
      <color theme="4"/>
      <name val="Calibri"/>
      <family val="2"/>
      <scheme val="minor"/>
    </font>
  </fonts>
  <fills count="3">
    <fill>
      <patternFill patternType="none"/>
    </fill>
    <fill>
      <patternFill patternType="gray125"/>
    </fill>
    <fill>
      <patternFill patternType="solid">
        <fgColor theme="5" tint="-0.249977111117893"/>
        <bgColor indexed="64"/>
      </patternFill>
    </fill>
  </fills>
  <borders count="1">
    <border>
      <left/>
      <right/>
      <top/>
      <bottom/>
      <diagonal/>
    </border>
  </borders>
  <cellStyleXfs count="3">
    <xf numFmtId="0" fontId="0" fillId="0" borderId="0"/>
    <xf numFmtId="44" fontId="1" fillId="0" borderId="0" applyFont="0" applyFill="0" applyBorder="0" applyAlignment="0" applyProtection="0"/>
    <xf numFmtId="9" fontId="1" fillId="0" borderId="0" applyFont="0" applyFill="0" applyBorder="0" applyAlignment="0" applyProtection="0"/>
  </cellStyleXfs>
  <cellXfs count="11">
    <xf numFmtId="0" fontId="0" fillId="0" borderId="0" xfId="0"/>
    <xf numFmtId="2" fontId="0" fillId="0" borderId="0" xfId="0" applyNumberFormat="1"/>
    <xf numFmtId="10" fontId="0" fillId="0" borderId="0" xfId="0" applyNumberFormat="1"/>
    <xf numFmtId="9" fontId="0" fillId="0" borderId="0" xfId="2" applyFont="1"/>
    <xf numFmtId="0" fontId="0" fillId="0" borderId="0" xfId="1" applyNumberFormat="1" applyFont="1"/>
    <xf numFmtId="0" fontId="0" fillId="0" borderId="0" xfId="0" pivotButton="1"/>
    <xf numFmtId="0" fontId="0" fillId="0" borderId="0" xfId="0" applyAlignment="1">
      <alignment horizontal="left"/>
    </xf>
    <xf numFmtId="0" fontId="6" fillId="2" borderId="0" xfId="0" applyFont="1" applyFill="1" applyAlignment="1">
      <alignment horizontal="center"/>
    </xf>
    <xf numFmtId="0" fontId="4" fillId="2" borderId="0" xfId="0" applyFont="1" applyFill="1" applyAlignment="1">
      <alignment horizontal="center"/>
    </xf>
    <xf numFmtId="0" fontId="5" fillId="2" borderId="0" xfId="0" applyFont="1" applyFill="1" applyAlignment="1">
      <alignment horizontal="center"/>
    </xf>
    <xf numFmtId="0" fontId="3" fillId="2" borderId="0" xfId="0" applyFont="1" applyFill="1" applyAlignment="1">
      <alignment horizontal="center"/>
    </xf>
  </cellXfs>
  <cellStyles count="3">
    <cellStyle name="Currency" xfId="1" builtinId="4"/>
    <cellStyle name="Normal" xfId="0" builtinId="0"/>
    <cellStyle name="Percent" xfId="2" builtinId="5"/>
  </cellStyles>
  <dxfs count="16">
    <dxf>
      <numFmt numFmtId="0" formatCode="General"/>
    </dxf>
    <dxf>
      <numFmt numFmtId="0" formatCode="General"/>
    </dxf>
    <dxf>
      <numFmt numFmtId="0" formatCode="General"/>
    </dxf>
    <dxf>
      <numFmt numFmtId="0" formatCode="General"/>
    </dxf>
    <dxf>
      <numFmt numFmtId="0" formatCode="General"/>
    </dxf>
    <dxf>
      <numFmt numFmtId="0" formatCode="General"/>
    </dxf>
    <dxf>
      <numFmt numFmtId="14"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 formatCode="0.00"/>
    </dxf>
    <dxf>
      <numFmt numFmtId="2" formatCode="0.00"/>
    </dxf>
    <dxf>
      <numFmt numFmtId="2"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microsoft.com/office/2017/06/relationships/rdRichValue" Target="richData/rdrichvalue.xml"/><Relationship Id="rId3" Type="http://schemas.openxmlformats.org/officeDocument/2006/relationships/pivotCacheDefinition" Target="pivotCache/pivotCacheDefinition1.xml"/><Relationship Id="rId7" Type="http://schemas.microsoft.com/office/2007/relationships/slicerCache" Target="slicerCaches/slicerCache4.xml"/><Relationship Id="rId12" Type="http://schemas.openxmlformats.org/officeDocument/2006/relationships/sheetMetadata" Target="metadata.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microsoft.com/office/2007/relationships/slicerCache" Target="slicerCaches/slicerCache3.xml"/><Relationship Id="rId11" Type="http://schemas.openxmlformats.org/officeDocument/2006/relationships/sharedStrings" Target="sharedStrings.xml"/><Relationship Id="rId5" Type="http://schemas.microsoft.com/office/2007/relationships/slicerCache" Target="slicerCaches/slicerCache2.xml"/><Relationship Id="rId15" Type="http://schemas.microsoft.com/office/2017/06/relationships/rdRichValueTypes" Target="richData/rdRichValueTypes.xml"/><Relationship Id="rId10" Type="http://schemas.openxmlformats.org/officeDocument/2006/relationships/styles" Target="styles.xml"/><Relationship Id="rId4" Type="http://schemas.microsoft.com/office/2007/relationships/slicerCache" Target="slicerCaches/slicerCache1.xml"/><Relationship Id="rId9" Type="http://schemas.openxmlformats.org/officeDocument/2006/relationships/connections" Target="connections.xml"/><Relationship Id="rId14" Type="http://schemas.microsoft.com/office/2017/06/relationships/rdRichValueStructure" Target="richData/rdrichvaluestructure.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[Marketing_Data_Analysis.xlsx]Marketing_data!PivotTable1</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Device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Marketing_data!$AX$13</c:f>
              <c:strCache>
                <c:ptCount val="1"/>
                <c:pt idx="0">
                  <c:v>Total</c:v>
                </c:pt>
              </c:strCache>
            </c:strRef>
          </c:tx>
          <c:spPr>
            <a:solidFill>
              <a:schemeClr val="accent1"/>
            </a:solidFill>
            <a:ln>
              <a:noFill/>
            </a:ln>
            <a:effectLst/>
          </c:spPr>
          <c:invertIfNegative val="0"/>
          <c:cat>
            <c:strRef>
              <c:f>Marketing_data!$AW$14:$AW$18</c:f>
              <c:strCache>
                <c:ptCount val="4"/>
                <c:pt idx="0">
                  <c:v>Laptop</c:v>
                </c:pt>
                <c:pt idx="1">
                  <c:v>PC</c:v>
                </c:pt>
                <c:pt idx="2">
                  <c:v>Smartphone</c:v>
                </c:pt>
                <c:pt idx="3">
                  <c:v>Tablet</c:v>
                </c:pt>
              </c:strCache>
            </c:strRef>
          </c:cat>
          <c:val>
            <c:numRef>
              <c:f>Marketing_data!$AX$14:$AX$18</c:f>
              <c:numCache>
                <c:formatCode>General</c:formatCode>
                <c:ptCount val="4"/>
                <c:pt idx="0">
                  <c:v>10788400</c:v>
                </c:pt>
                <c:pt idx="1">
                  <c:v>15647960</c:v>
                </c:pt>
                <c:pt idx="2">
                  <c:v>21039280</c:v>
                </c:pt>
                <c:pt idx="3">
                  <c:v>7299350</c:v>
                </c:pt>
              </c:numCache>
            </c:numRef>
          </c:val>
          <c:extLst>
            <c:ext xmlns:c16="http://schemas.microsoft.com/office/drawing/2014/chart" uri="{C3380CC4-5D6E-409C-BE32-E72D297353CC}">
              <c16:uniqueId val="{00000000-B97E-437E-B785-D0D542EF426E}"/>
            </c:ext>
          </c:extLst>
        </c:ser>
        <c:dLbls>
          <c:showLegendKey val="0"/>
          <c:showVal val="0"/>
          <c:showCatName val="0"/>
          <c:showSerName val="0"/>
          <c:showPercent val="0"/>
          <c:showBubbleSize val="0"/>
        </c:dLbls>
        <c:gapWidth val="219"/>
        <c:overlap val="-27"/>
        <c:axId val="1152603999"/>
        <c:axId val="1152600255"/>
      </c:barChart>
      <c:catAx>
        <c:axId val="11526039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2600255"/>
        <c:crosses val="autoZero"/>
        <c:auto val="1"/>
        <c:lblAlgn val="ctr"/>
        <c:lblOffset val="100"/>
        <c:noMultiLvlLbl val="0"/>
      </c:catAx>
      <c:valAx>
        <c:axId val="11526002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26039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[Marketing_Data_Analysis.xlsx]Marketing_data!PivotTable2</c:name>
    <c:fmtId val="21"/>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Marketing_data!$AK$23</c:f>
              <c:strCache>
                <c:ptCount val="1"/>
                <c:pt idx="0">
                  <c:v>Sum of Clicks</c:v>
                </c:pt>
              </c:strCache>
            </c:strRef>
          </c:tx>
          <c:spPr>
            <a:solidFill>
              <a:schemeClr val="accent1"/>
            </a:solidFill>
            <a:ln>
              <a:noFill/>
            </a:ln>
            <a:effectLst/>
            <a:sp3d/>
          </c:spPr>
          <c:invertIfNegative val="0"/>
          <c:cat>
            <c:strRef>
              <c:f>Marketing_data!$AJ$24:$AJ$27</c:f>
              <c:strCache>
                <c:ptCount val="3"/>
                <c:pt idx="0">
                  <c:v>Messenger</c:v>
                </c:pt>
                <c:pt idx="1">
                  <c:v>News Feed</c:v>
                </c:pt>
                <c:pt idx="2">
                  <c:v>Stories</c:v>
                </c:pt>
              </c:strCache>
            </c:strRef>
          </c:cat>
          <c:val>
            <c:numRef>
              <c:f>Marketing_data!$AK$24:$AK$27</c:f>
              <c:numCache>
                <c:formatCode>General</c:formatCode>
                <c:ptCount val="3"/>
                <c:pt idx="0">
                  <c:v>41654</c:v>
                </c:pt>
                <c:pt idx="1">
                  <c:v>129156</c:v>
                </c:pt>
                <c:pt idx="2">
                  <c:v>28220</c:v>
                </c:pt>
              </c:numCache>
            </c:numRef>
          </c:val>
          <c:extLst>
            <c:ext xmlns:c16="http://schemas.microsoft.com/office/drawing/2014/chart" uri="{C3380CC4-5D6E-409C-BE32-E72D297353CC}">
              <c16:uniqueId val="{00000000-CBF8-4629-9BE2-6B1F89F7B433}"/>
            </c:ext>
          </c:extLst>
        </c:ser>
        <c:ser>
          <c:idx val="1"/>
          <c:order val="1"/>
          <c:tx>
            <c:strRef>
              <c:f>Marketing_data!$AL$23</c:f>
              <c:strCache>
                <c:ptCount val="1"/>
                <c:pt idx="0">
                  <c:v>Sum of Leads</c:v>
                </c:pt>
              </c:strCache>
            </c:strRef>
          </c:tx>
          <c:spPr>
            <a:solidFill>
              <a:schemeClr val="accent2"/>
            </a:solidFill>
            <a:ln>
              <a:noFill/>
            </a:ln>
            <a:effectLst/>
            <a:sp3d/>
          </c:spPr>
          <c:invertIfNegative val="0"/>
          <c:cat>
            <c:strRef>
              <c:f>Marketing_data!$AJ$24:$AJ$27</c:f>
              <c:strCache>
                <c:ptCount val="3"/>
                <c:pt idx="0">
                  <c:v>Messenger</c:v>
                </c:pt>
                <c:pt idx="1">
                  <c:v>News Feed</c:v>
                </c:pt>
                <c:pt idx="2">
                  <c:v>Stories</c:v>
                </c:pt>
              </c:strCache>
            </c:strRef>
          </c:cat>
          <c:val>
            <c:numRef>
              <c:f>Marketing_data!$AL$24:$AL$27</c:f>
              <c:numCache>
                <c:formatCode>General</c:formatCode>
                <c:ptCount val="3"/>
                <c:pt idx="0">
                  <c:v>13021</c:v>
                </c:pt>
                <c:pt idx="1">
                  <c:v>38982</c:v>
                </c:pt>
                <c:pt idx="2">
                  <c:v>10613</c:v>
                </c:pt>
              </c:numCache>
            </c:numRef>
          </c:val>
          <c:extLst>
            <c:ext xmlns:c16="http://schemas.microsoft.com/office/drawing/2014/chart" uri="{C3380CC4-5D6E-409C-BE32-E72D297353CC}">
              <c16:uniqueId val="{00000001-CBF8-4629-9BE2-6B1F89F7B433}"/>
            </c:ext>
          </c:extLst>
        </c:ser>
        <c:ser>
          <c:idx val="2"/>
          <c:order val="2"/>
          <c:tx>
            <c:strRef>
              <c:f>Marketing_data!$AM$23</c:f>
              <c:strCache>
                <c:ptCount val="1"/>
                <c:pt idx="0">
                  <c:v>Sum of Revenue</c:v>
                </c:pt>
              </c:strCache>
            </c:strRef>
          </c:tx>
          <c:spPr>
            <a:solidFill>
              <a:schemeClr val="accent3"/>
            </a:solidFill>
            <a:ln>
              <a:noFill/>
            </a:ln>
            <a:effectLst/>
            <a:sp3d/>
          </c:spPr>
          <c:invertIfNegative val="0"/>
          <c:cat>
            <c:strRef>
              <c:f>Marketing_data!$AJ$24:$AJ$27</c:f>
              <c:strCache>
                <c:ptCount val="3"/>
                <c:pt idx="0">
                  <c:v>Messenger</c:v>
                </c:pt>
                <c:pt idx="1">
                  <c:v>News Feed</c:v>
                </c:pt>
                <c:pt idx="2">
                  <c:v>Stories</c:v>
                </c:pt>
              </c:strCache>
            </c:strRef>
          </c:cat>
          <c:val>
            <c:numRef>
              <c:f>Marketing_data!$AM$24:$AM$27</c:f>
              <c:numCache>
                <c:formatCode>General</c:formatCode>
                <c:ptCount val="3"/>
                <c:pt idx="0">
                  <c:v>9615440</c:v>
                </c:pt>
                <c:pt idx="1">
                  <c:v>34729460</c:v>
                </c:pt>
                <c:pt idx="2">
                  <c:v>10430090</c:v>
                </c:pt>
              </c:numCache>
            </c:numRef>
          </c:val>
          <c:extLst>
            <c:ext xmlns:c16="http://schemas.microsoft.com/office/drawing/2014/chart" uri="{C3380CC4-5D6E-409C-BE32-E72D297353CC}">
              <c16:uniqueId val="{00000002-CBF8-4629-9BE2-6B1F89F7B433}"/>
            </c:ext>
          </c:extLst>
        </c:ser>
        <c:dLbls>
          <c:showLegendKey val="0"/>
          <c:showVal val="0"/>
          <c:showCatName val="0"/>
          <c:showSerName val="0"/>
          <c:showPercent val="0"/>
          <c:showBubbleSize val="0"/>
        </c:dLbls>
        <c:gapWidth val="150"/>
        <c:shape val="box"/>
        <c:axId val="313223439"/>
        <c:axId val="313223855"/>
        <c:axId val="0"/>
      </c:bar3DChart>
      <c:catAx>
        <c:axId val="31322343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3223855"/>
        <c:crosses val="autoZero"/>
        <c:auto val="1"/>
        <c:lblAlgn val="ctr"/>
        <c:lblOffset val="100"/>
        <c:noMultiLvlLbl val="0"/>
      </c:catAx>
      <c:valAx>
        <c:axId val="31322385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32234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[Marketing_Data_Analysis.xlsx]Marketing_data!PivotTable4</c:name>
    <c:fmtId val="8"/>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Marketing_data!$AY$23</c:f>
              <c:strCache>
                <c:ptCount val="1"/>
                <c:pt idx="0">
                  <c:v>Sum of CTR</c:v>
                </c:pt>
              </c:strCache>
            </c:strRef>
          </c:tx>
          <c:spPr>
            <a:solidFill>
              <a:schemeClr val="accent1"/>
            </a:solidFill>
            <a:ln>
              <a:noFill/>
            </a:ln>
            <a:effectLst/>
            <a:sp3d/>
          </c:spPr>
          <c:invertIfNegative val="0"/>
          <c:cat>
            <c:strRef>
              <c:f>Marketing_data!$AX$24:$AX$28</c:f>
              <c:strCache>
                <c:ptCount val="4"/>
                <c:pt idx="0">
                  <c:v>Behavioral</c:v>
                </c:pt>
                <c:pt idx="1">
                  <c:v>Contextual</c:v>
                </c:pt>
                <c:pt idx="2">
                  <c:v>Geographic</c:v>
                </c:pt>
                <c:pt idx="3">
                  <c:v>Time-based</c:v>
                </c:pt>
              </c:strCache>
            </c:strRef>
          </c:cat>
          <c:val>
            <c:numRef>
              <c:f>Marketing_data!$AY$24:$AY$28</c:f>
              <c:numCache>
                <c:formatCode>General</c:formatCode>
                <c:ptCount val="4"/>
                <c:pt idx="0">
                  <c:v>134.18</c:v>
                </c:pt>
                <c:pt idx="1">
                  <c:v>128.23000000000002</c:v>
                </c:pt>
                <c:pt idx="2">
                  <c:v>85.67</c:v>
                </c:pt>
                <c:pt idx="3">
                  <c:v>113.69</c:v>
                </c:pt>
              </c:numCache>
            </c:numRef>
          </c:val>
          <c:extLst>
            <c:ext xmlns:c16="http://schemas.microsoft.com/office/drawing/2014/chart" uri="{C3380CC4-5D6E-409C-BE32-E72D297353CC}">
              <c16:uniqueId val="{00000000-A3D7-4FAE-AA1F-7D783048A2D6}"/>
            </c:ext>
          </c:extLst>
        </c:ser>
        <c:ser>
          <c:idx val="1"/>
          <c:order val="1"/>
          <c:tx>
            <c:strRef>
              <c:f>Marketing_data!$AZ$23</c:f>
              <c:strCache>
                <c:ptCount val="1"/>
                <c:pt idx="0">
                  <c:v>Sum of Revenue</c:v>
                </c:pt>
              </c:strCache>
            </c:strRef>
          </c:tx>
          <c:spPr>
            <a:solidFill>
              <a:schemeClr val="accent2"/>
            </a:solidFill>
            <a:ln>
              <a:noFill/>
            </a:ln>
            <a:effectLst/>
            <a:sp3d/>
          </c:spPr>
          <c:invertIfNegative val="0"/>
          <c:cat>
            <c:strRef>
              <c:f>Marketing_data!$AX$24:$AX$28</c:f>
              <c:strCache>
                <c:ptCount val="4"/>
                <c:pt idx="0">
                  <c:v>Behavioral</c:v>
                </c:pt>
                <c:pt idx="1">
                  <c:v>Contextual</c:v>
                </c:pt>
                <c:pt idx="2">
                  <c:v>Geographic</c:v>
                </c:pt>
                <c:pt idx="3">
                  <c:v>Time-based</c:v>
                </c:pt>
              </c:strCache>
            </c:strRef>
          </c:cat>
          <c:val>
            <c:numRef>
              <c:f>Marketing_data!$AZ$24:$AZ$28</c:f>
              <c:numCache>
                <c:formatCode>General</c:formatCode>
                <c:ptCount val="4"/>
                <c:pt idx="0">
                  <c:v>23118530</c:v>
                </c:pt>
                <c:pt idx="1">
                  <c:v>13214370</c:v>
                </c:pt>
                <c:pt idx="2">
                  <c:v>9080240</c:v>
                </c:pt>
                <c:pt idx="3">
                  <c:v>9361850</c:v>
                </c:pt>
              </c:numCache>
            </c:numRef>
          </c:val>
          <c:extLst>
            <c:ext xmlns:c16="http://schemas.microsoft.com/office/drawing/2014/chart" uri="{C3380CC4-5D6E-409C-BE32-E72D297353CC}">
              <c16:uniqueId val="{00000001-A3D7-4FAE-AA1F-7D783048A2D6}"/>
            </c:ext>
          </c:extLst>
        </c:ser>
        <c:ser>
          <c:idx val="2"/>
          <c:order val="2"/>
          <c:tx>
            <c:strRef>
              <c:f>Marketing_data!$BA$23</c:f>
              <c:strCache>
                <c:ptCount val="1"/>
                <c:pt idx="0">
                  <c:v>Sum of ROI</c:v>
                </c:pt>
              </c:strCache>
            </c:strRef>
          </c:tx>
          <c:spPr>
            <a:solidFill>
              <a:schemeClr val="accent3"/>
            </a:solidFill>
            <a:ln>
              <a:noFill/>
            </a:ln>
            <a:effectLst/>
            <a:sp3d/>
          </c:spPr>
          <c:invertIfNegative val="0"/>
          <c:cat>
            <c:strRef>
              <c:f>Marketing_data!$AX$24:$AX$28</c:f>
              <c:strCache>
                <c:ptCount val="4"/>
                <c:pt idx="0">
                  <c:v>Behavioral</c:v>
                </c:pt>
                <c:pt idx="1">
                  <c:v>Contextual</c:v>
                </c:pt>
                <c:pt idx="2">
                  <c:v>Geographic</c:v>
                </c:pt>
                <c:pt idx="3">
                  <c:v>Time-based</c:v>
                </c:pt>
              </c:strCache>
            </c:strRef>
          </c:cat>
          <c:val>
            <c:numRef>
              <c:f>Marketing_data!$BA$24:$BA$28</c:f>
              <c:numCache>
                <c:formatCode>General</c:formatCode>
                <c:ptCount val="4"/>
                <c:pt idx="0">
                  <c:v>17487.52</c:v>
                </c:pt>
                <c:pt idx="1">
                  <c:v>4696.8500000000004</c:v>
                </c:pt>
                <c:pt idx="2">
                  <c:v>1661.8900000000006</c:v>
                </c:pt>
                <c:pt idx="3">
                  <c:v>1496.4900000000002</c:v>
                </c:pt>
              </c:numCache>
            </c:numRef>
          </c:val>
          <c:extLst>
            <c:ext xmlns:c16="http://schemas.microsoft.com/office/drawing/2014/chart" uri="{C3380CC4-5D6E-409C-BE32-E72D297353CC}">
              <c16:uniqueId val="{00000002-A3D7-4FAE-AA1F-7D783048A2D6}"/>
            </c:ext>
          </c:extLst>
        </c:ser>
        <c:dLbls>
          <c:showLegendKey val="0"/>
          <c:showVal val="0"/>
          <c:showCatName val="0"/>
          <c:showSerName val="0"/>
          <c:showPercent val="0"/>
          <c:showBubbleSize val="0"/>
        </c:dLbls>
        <c:gapWidth val="150"/>
        <c:shape val="box"/>
        <c:axId val="1153055263"/>
        <c:axId val="1153056511"/>
        <c:axId val="857317791"/>
      </c:bar3DChart>
      <c:catAx>
        <c:axId val="115305526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3056511"/>
        <c:crosses val="autoZero"/>
        <c:auto val="1"/>
        <c:lblAlgn val="ctr"/>
        <c:lblOffset val="100"/>
        <c:noMultiLvlLbl val="0"/>
      </c:catAx>
      <c:valAx>
        <c:axId val="11530565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3055263"/>
        <c:crosses val="autoZero"/>
        <c:crossBetween val="between"/>
      </c:valAx>
      <c:serAx>
        <c:axId val="857317791"/>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3056511"/>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[Marketing_Data_Analysis.xlsx]Marketing_data!PivotTable5</c:name>
    <c:fmtId val="4"/>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line3DChart>
        <c:grouping val="standard"/>
        <c:varyColors val="0"/>
        <c:ser>
          <c:idx val="0"/>
          <c:order val="0"/>
          <c:tx>
            <c:strRef>
              <c:f>Marketing_data!$BH$25</c:f>
              <c:strCache>
                <c:ptCount val="1"/>
                <c:pt idx="0">
                  <c:v>Sum of Clicks</c:v>
                </c:pt>
              </c:strCache>
            </c:strRef>
          </c:tx>
          <c:spPr>
            <a:solidFill>
              <a:schemeClr val="accent1"/>
            </a:solidFill>
            <a:ln>
              <a:noFill/>
            </a:ln>
            <a:effectLst/>
            <a:sp3d/>
          </c:spPr>
          <c:cat>
            <c:strRef>
              <c:f>Marketing_data!$BG$26:$BG$30</c:f>
              <c:strCache>
                <c:ptCount val="4"/>
                <c:pt idx="0">
                  <c:v>Large</c:v>
                </c:pt>
                <c:pt idx="1">
                  <c:v>Long</c:v>
                </c:pt>
                <c:pt idx="2">
                  <c:v>Medium</c:v>
                </c:pt>
                <c:pt idx="3">
                  <c:v>Small</c:v>
                </c:pt>
              </c:strCache>
            </c:strRef>
          </c:cat>
          <c:val>
            <c:numRef>
              <c:f>Marketing_data!$BH$26:$BH$30</c:f>
              <c:numCache>
                <c:formatCode>General</c:formatCode>
                <c:ptCount val="4"/>
                <c:pt idx="0">
                  <c:v>48504</c:v>
                </c:pt>
                <c:pt idx="1">
                  <c:v>28786</c:v>
                </c:pt>
                <c:pt idx="2">
                  <c:v>37309</c:v>
                </c:pt>
                <c:pt idx="3">
                  <c:v>84431</c:v>
                </c:pt>
              </c:numCache>
            </c:numRef>
          </c:val>
          <c:smooth val="0"/>
          <c:extLst>
            <c:ext xmlns:c16="http://schemas.microsoft.com/office/drawing/2014/chart" uri="{C3380CC4-5D6E-409C-BE32-E72D297353CC}">
              <c16:uniqueId val="{00000000-0352-432C-A4A8-2B4AA0773A90}"/>
            </c:ext>
          </c:extLst>
        </c:ser>
        <c:ser>
          <c:idx val="1"/>
          <c:order val="1"/>
          <c:tx>
            <c:strRef>
              <c:f>Marketing_data!$BI$25</c:f>
              <c:strCache>
                <c:ptCount val="1"/>
                <c:pt idx="0">
                  <c:v>Sum of Revenue</c:v>
                </c:pt>
              </c:strCache>
            </c:strRef>
          </c:tx>
          <c:spPr>
            <a:solidFill>
              <a:schemeClr val="accent2"/>
            </a:solidFill>
            <a:ln>
              <a:noFill/>
            </a:ln>
            <a:effectLst/>
            <a:sp3d/>
          </c:spPr>
          <c:cat>
            <c:strRef>
              <c:f>Marketing_data!$BG$26:$BG$30</c:f>
              <c:strCache>
                <c:ptCount val="4"/>
                <c:pt idx="0">
                  <c:v>Large</c:v>
                </c:pt>
                <c:pt idx="1">
                  <c:v>Long</c:v>
                </c:pt>
                <c:pt idx="2">
                  <c:v>Medium</c:v>
                </c:pt>
                <c:pt idx="3">
                  <c:v>Small</c:v>
                </c:pt>
              </c:strCache>
            </c:strRef>
          </c:cat>
          <c:val>
            <c:numRef>
              <c:f>Marketing_data!$BI$26:$BI$30</c:f>
              <c:numCache>
                <c:formatCode>General</c:formatCode>
                <c:ptCount val="4"/>
                <c:pt idx="0">
                  <c:v>12582950</c:v>
                </c:pt>
                <c:pt idx="1">
                  <c:v>11491630</c:v>
                </c:pt>
                <c:pt idx="2">
                  <c:v>11527940</c:v>
                </c:pt>
                <c:pt idx="3">
                  <c:v>19172470</c:v>
                </c:pt>
              </c:numCache>
            </c:numRef>
          </c:val>
          <c:smooth val="0"/>
          <c:extLst>
            <c:ext xmlns:c16="http://schemas.microsoft.com/office/drawing/2014/chart" uri="{C3380CC4-5D6E-409C-BE32-E72D297353CC}">
              <c16:uniqueId val="{00000001-0352-432C-A4A8-2B4AA0773A90}"/>
            </c:ext>
          </c:extLst>
        </c:ser>
        <c:dLbls>
          <c:showLegendKey val="0"/>
          <c:showVal val="0"/>
          <c:showCatName val="0"/>
          <c:showSerName val="0"/>
          <c:showPercent val="0"/>
          <c:showBubbleSize val="0"/>
        </c:dLbls>
        <c:axId val="1159797039"/>
        <c:axId val="1159799535"/>
        <c:axId val="1956727951"/>
      </c:line3DChart>
      <c:catAx>
        <c:axId val="115979703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9799535"/>
        <c:crosses val="autoZero"/>
        <c:auto val="1"/>
        <c:lblAlgn val="ctr"/>
        <c:lblOffset val="100"/>
        <c:noMultiLvlLbl val="0"/>
      </c:catAx>
      <c:valAx>
        <c:axId val="11597995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9797039"/>
        <c:crosses val="autoZero"/>
        <c:crossBetween val="between"/>
      </c:valAx>
      <c:serAx>
        <c:axId val="1956727951"/>
        <c:scaling>
          <c:orientation val="minMax"/>
        </c:scaling>
        <c:delete val="0"/>
        <c:axPos val="b"/>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9799535"/>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[Marketing_Data_Analysis.xlsx]Marketing_data!PivotTable6</c:name>
    <c:fmtId val="4"/>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percentStacked"/>
        <c:varyColors val="0"/>
        <c:ser>
          <c:idx val="0"/>
          <c:order val="0"/>
          <c:tx>
            <c:strRef>
              <c:f>Marketing_data!$BH$39</c:f>
              <c:strCache>
                <c:ptCount val="1"/>
                <c:pt idx="0">
                  <c:v>Sum of Leads</c:v>
                </c:pt>
              </c:strCache>
            </c:strRef>
          </c:tx>
          <c:spPr>
            <a:solidFill>
              <a:schemeClr val="accent1"/>
            </a:solidFill>
            <a:ln>
              <a:noFill/>
            </a:ln>
            <a:effectLst/>
            <a:sp3d/>
          </c:spPr>
          <c:invertIfNegative val="0"/>
          <c:cat>
            <c:strRef>
              <c:f>Marketing_data!$BG$40:$BG$44</c:f>
              <c:strCache>
                <c:ptCount val="4"/>
                <c:pt idx="0">
                  <c:v>Laptop</c:v>
                </c:pt>
                <c:pt idx="1">
                  <c:v>PC</c:v>
                </c:pt>
                <c:pt idx="2">
                  <c:v>Smartphone</c:v>
                </c:pt>
                <c:pt idx="3">
                  <c:v>Tablet</c:v>
                </c:pt>
              </c:strCache>
            </c:strRef>
          </c:cat>
          <c:val>
            <c:numRef>
              <c:f>Marketing_data!$BH$40:$BH$44</c:f>
              <c:numCache>
                <c:formatCode>General</c:formatCode>
                <c:ptCount val="4"/>
                <c:pt idx="0">
                  <c:v>14072</c:v>
                </c:pt>
                <c:pt idx="1">
                  <c:v>15463</c:v>
                </c:pt>
                <c:pt idx="2">
                  <c:v>23845</c:v>
                </c:pt>
                <c:pt idx="3">
                  <c:v>9236</c:v>
                </c:pt>
              </c:numCache>
            </c:numRef>
          </c:val>
          <c:extLst>
            <c:ext xmlns:c16="http://schemas.microsoft.com/office/drawing/2014/chart" uri="{C3380CC4-5D6E-409C-BE32-E72D297353CC}">
              <c16:uniqueId val="{00000000-8D9D-4976-9788-F9EC91213C78}"/>
            </c:ext>
          </c:extLst>
        </c:ser>
        <c:ser>
          <c:idx val="1"/>
          <c:order val="1"/>
          <c:tx>
            <c:strRef>
              <c:f>Marketing_data!$BI$39</c:f>
              <c:strCache>
                <c:ptCount val="1"/>
                <c:pt idx="0">
                  <c:v>Sum of Sales_conversion</c:v>
                </c:pt>
              </c:strCache>
            </c:strRef>
          </c:tx>
          <c:spPr>
            <a:solidFill>
              <a:schemeClr val="accent2"/>
            </a:solidFill>
            <a:ln>
              <a:noFill/>
            </a:ln>
            <a:effectLst/>
            <a:sp3d/>
          </c:spPr>
          <c:invertIfNegative val="0"/>
          <c:cat>
            <c:strRef>
              <c:f>Marketing_data!$BG$40:$BG$44</c:f>
              <c:strCache>
                <c:ptCount val="4"/>
                <c:pt idx="0">
                  <c:v>Laptop</c:v>
                </c:pt>
                <c:pt idx="1">
                  <c:v>PC</c:v>
                </c:pt>
                <c:pt idx="2">
                  <c:v>Smartphone</c:v>
                </c:pt>
                <c:pt idx="3">
                  <c:v>Tablet</c:v>
                </c:pt>
              </c:strCache>
            </c:strRef>
          </c:cat>
          <c:val>
            <c:numRef>
              <c:f>Marketing_data!$BI$40:$BI$44</c:f>
              <c:numCache>
                <c:formatCode>General</c:formatCode>
                <c:ptCount val="4"/>
                <c:pt idx="0">
                  <c:v>1577.9999999999998</c:v>
                </c:pt>
                <c:pt idx="1">
                  <c:v>1717.9</c:v>
                </c:pt>
                <c:pt idx="2">
                  <c:v>2154.4999999999995</c:v>
                </c:pt>
                <c:pt idx="3">
                  <c:v>654.50000000000011</c:v>
                </c:pt>
              </c:numCache>
            </c:numRef>
          </c:val>
          <c:extLst>
            <c:ext xmlns:c16="http://schemas.microsoft.com/office/drawing/2014/chart" uri="{C3380CC4-5D6E-409C-BE32-E72D297353CC}">
              <c16:uniqueId val="{00000001-8D9D-4976-9788-F9EC91213C78}"/>
            </c:ext>
          </c:extLst>
        </c:ser>
        <c:dLbls>
          <c:showLegendKey val="0"/>
          <c:showVal val="0"/>
          <c:showCatName val="0"/>
          <c:showSerName val="0"/>
          <c:showPercent val="0"/>
          <c:showBubbleSize val="0"/>
        </c:dLbls>
        <c:gapWidth val="150"/>
        <c:shape val="box"/>
        <c:axId val="14196911"/>
        <c:axId val="14195663"/>
        <c:axId val="0"/>
      </c:bar3DChart>
      <c:catAx>
        <c:axId val="1419691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95663"/>
        <c:crosses val="autoZero"/>
        <c:auto val="1"/>
        <c:lblAlgn val="ctr"/>
        <c:lblOffset val="100"/>
        <c:noMultiLvlLbl val="0"/>
      </c:catAx>
      <c:valAx>
        <c:axId val="1419566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969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[Marketing_Data_Analysis.xlsx]Marketing_data!PivotTable7</c:name>
    <c:fmtId val="13"/>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Marketing_data!$BB$50</c:f>
              <c:strCache>
                <c:ptCount val="1"/>
                <c:pt idx="0">
                  <c:v>Sum of Net_profit</c:v>
                </c:pt>
              </c:strCache>
            </c:strRef>
          </c:tx>
          <c:spPr>
            <a:solidFill>
              <a:schemeClr val="accent1"/>
            </a:solidFill>
            <a:ln>
              <a:noFill/>
            </a:ln>
            <a:effectLst/>
            <a:sp3d/>
          </c:spPr>
          <c:invertIfNegative val="0"/>
          <c:cat>
            <c:strRef>
              <c:f>Marketing_data!$BA$51:$BA$54</c:f>
              <c:strCache>
                <c:ptCount val="3"/>
                <c:pt idx="0">
                  <c:v>Carousel</c:v>
                </c:pt>
                <c:pt idx="1">
                  <c:v>Images</c:v>
                </c:pt>
                <c:pt idx="2">
                  <c:v>Post</c:v>
                </c:pt>
              </c:strCache>
            </c:strRef>
          </c:cat>
          <c:val>
            <c:numRef>
              <c:f>Marketing_data!$BB$51:$BB$54</c:f>
              <c:numCache>
                <c:formatCode>General</c:formatCode>
                <c:ptCount val="3"/>
                <c:pt idx="0">
                  <c:v>806104</c:v>
                </c:pt>
                <c:pt idx="1">
                  <c:v>1709093</c:v>
                </c:pt>
                <c:pt idx="2">
                  <c:v>1680343</c:v>
                </c:pt>
              </c:numCache>
            </c:numRef>
          </c:val>
          <c:extLst>
            <c:ext xmlns:c16="http://schemas.microsoft.com/office/drawing/2014/chart" uri="{C3380CC4-5D6E-409C-BE32-E72D297353CC}">
              <c16:uniqueId val="{00000000-12AB-46E7-9344-7C30E0E1B2DA}"/>
            </c:ext>
          </c:extLst>
        </c:ser>
        <c:ser>
          <c:idx val="1"/>
          <c:order val="1"/>
          <c:tx>
            <c:strRef>
              <c:f>Marketing_data!$BC$50</c:f>
              <c:strCache>
                <c:ptCount val="1"/>
                <c:pt idx="0">
                  <c:v>Sum of ROI</c:v>
                </c:pt>
              </c:strCache>
            </c:strRef>
          </c:tx>
          <c:spPr>
            <a:solidFill>
              <a:schemeClr val="accent2"/>
            </a:solidFill>
            <a:ln>
              <a:noFill/>
            </a:ln>
            <a:effectLst/>
            <a:sp3d/>
          </c:spPr>
          <c:invertIfNegative val="0"/>
          <c:cat>
            <c:strRef>
              <c:f>Marketing_data!$BA$51:$BA$54</c:f>
              <c:strCache>
                <c:ptCount val="3"/>
                <c:pt idx="0">
                  <c:v>Carousel</c:v>
                </c:pt>
                <c:pt idx="1">
                  <c:v>Images</c:v>
                </c:pt>
                <c:pt idx="2">
                  <c:v>Post</c:v>
                </c:pt>
              </c:strCache>
            </c:strRef>
          </c:cat>
          <c:val>
            <c:numRef>
              <c:f>Marketing_data!$BC$51:$BC$54</c:f>
              <c:numCache>
                <c:formatCode>General</c:formatCode>
                <c:ptCount val="3"/>
                <c:pt idx="0">
                  <c:v>3269.39</c:v>
                </c:pt>
                <c:pt idx="1">
                  <c:v>10339</c:v>
                </c:pt>
                <c:pt idx="2">
                  <c:v>11734.36</c:v>
                </c:pt>
              </c:numCache>
            </c:numRef>
          </c:val>
          <c:extLst>
            <c:ext xmlns:c16="http://schemas.microsoft.com/office/drawing/2014/chart" uri="{C3380CC4-5D6E-409C-BE32-E72D297353CC}">
              <c16:uniqueId val="{00000001-12AB-46E7-9344-7C30E0E1B2DA}"/>
            </c:ext>
          </c:extLst>
        </c:ser>
        <c:dLbls>
          <c:showLegendKey val="0"/>
          <c:showVal val="0"/>
          <c:showCatName val="0"/>
          <c:showSerName val="0"/>
          <c:showPercent val="0"/>
          <c:showBubbleSize val="0"/>
        </c:dLbls>
        <c:gapWidth val="150"/>
        <c:shape val="box"/>
        <c:axId val="14189423"/>
        <c:axId val="14173615"/>
        <c:axId val="0"/>
      </c:bar3DChart>
      <c:catAx>
        <c:axId val="1418942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73615"/>
        <c:crosses val="autoZero"/>
        <c:auto val="1"/>
        <c:lblAlgn val="ctr"/>
        <c:lblOffset val="100"/>
        <c:noMultiLvlLbl val="0"/>
      </c:catAx>
      <c:valAx>
        <c:axId val="1417361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894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[Marketing_Data_Analysis.xlsx]Marketing_data!PivotTable8</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Marketing_data!$BJ$57</c:f>
              <c:strCache>
                <c:ptCount val="1"/>
                <c:pt idx="0">
                  <c:v>Sum of Advertising_budget</c:v>
                </c:pt>
              </c:strCache>
            </c:strRef>
          </c:tx>
          <c:spPr>
            <a:solidFill>
              <a:schemeClr val="accent1"/>
            </a:solidFill>
            <a:ln>
              <a:noFill/>
            </a:ln>
            <a:effectLst/>
          </c:spPr>
          <c:invertIfNegative val="0"/>
          <c:cat>
            <c:strRef>
              <c:f>Marketing_data!$BI$58:$BI$61</c:f>
              <c:strCache>
                <c:ptCount val="3"/>
                <c:pt idx="0">
                  <c:v>Messenger</c:v>
                </c:pt>
                <c:pt idx="1">
                  <c:v>News Feed</c:v>
                </c:pt>
                <c:pt idx="2">
                  <c:v>Stories</c:v>
                </c:pt>
              </c:strCache>
            </c:strRef>
          </c:cat>
          <c:val>
            <c:numRef>
              <c:f>Marketing_data!$BJ$58:$BJ$61</c:f>
              <c:numCache>
                <c:formatCode>General</c:formatCode>
                <c:ptCount val="3"/>
                <c:pt idx="0">
                  <c:v>302459</c:v>
                </c:pt>
                <c:pt idx="1">
                  <c:v>1209571</c:v>
                </c:pt>
                <c:pt idx="2">
                  <c:v>436300</c:v>
                </c:pt>
              </c:numCache>
            </c:numRef>
          </c:val>
          <c:extLst>
            <c:ext xmlns:c16="http://schemas.microsoft.com/office/drawing/2014/chart" uri="{C3380CC4-5D6E-409C-BE32-E72D297353CC}">
              <c16:uniqueId val="{00000000-2FC4-4955-B8B3-D62C4C1F83AE}"/>
            </c:ext>
          </c:extLst>
        </c:ser>
        <c:dLbls>
          <c:showLegendKey val="0"/>
          <c:showVal val="0"/>
          <c:showCatName val="0"/>
          <c:showSerName val="0"/>
          <c:showPercent val="0"/>
          <c:showBubbleSize val="0"/>
        </c:dLbls>
        <c:gapWidth val="219"/>
        <c:overlap val="-27"/>
        <c:axId val="14180687"/>
        <c:axId val="14182351"/>
      </c:barChart>
      <c:lineChart>
        <c:grouping val="standard"/>
        <c:varyColors val="0"/>
        <c:ser>
          <c:idx val="1"/>
          <c:order val="1"/>
          <c:tx>
            <c:strRef>
              <c:f>Marketing_data!$BK$57</c:f>
              <c:strCache>
                <c:ptCount val="1"/>
                <c:pt idx="0">
                  <c:v>Sum of Revenue</c:v>
                </c:pt>
              </c:strCache>
            </c:strRef>
          </c:tx>
          <c:spPr>
            <a:ln w="28575" cap="rnd">
              <a:solidFill>
                <a:schemeClr val="accent2"/>
              </a:solidFill>
              <a:round/>
            </a:ln>
            <a:effectLst/>
          </c:spPr>
          <c:marker>
            <c:symbol val="none"/>
          </c:marker>
          <c:cat>
            <c:strRef>
              <c:f>Marketing_data!$BI$58:$BI$61</c:f>
              <c:strCache>
                <c:ptCount val="3"/>
                <c:pt idx="0">
                  <c:v>Messenger</c:v>
                </c:pt>
                <c:pt idx="1">
                  <c:v>News Feed</c:v>
                </c:pt>
                <c:pt idx="2">
                  <c:v>Stories</c:v>
                </c:pt>
              </c:strCache>
            </c:strRef>
          </c:cat>
          <c:val>
            <c:numRef>
              <c:f>Marketing_data!$BK$58:$BK$61</c:f>
              <c:numCache>
                <c:formatCode>General</c:formatCode>
                <c:ptCount val="3"/>
                <c:pt idx="0">
                  <c:v>9615440</c:v>
                </c:pt>
                <c:pt idx="1">
                  <c:v>34729460</c:v>
                </c:pt>
                <c:pt idx="2">
                  <c:v>10430090</c:v>
                </c:pt>
              </c:numCache>
            </c:numRef>
          </c:val>
          <c:smooth val="0"/>
          <c:extLst>
            <c:ext xmlns:c16="http://schemas.microsoft.com/office/drawing/2014/chart" uri="{C3380CC4-5D6E-409C-BE32-E72D297353CC}">
              <c16:uniqueId val="{00000001-2FC4-4955-B8B3-D62C4C1F83AE}"/>
            </c:ext>
          </c:extLst>
        </c:ser>
        <c:dLbls>
          <c:showLegendKey val="0"/>
          <c:showVal val="0"/>
          <c:showCatName val="0"/>
          <c:showSerName val="0"/>
          <c:showPercent val="0"/>
          <c:showBubbleSize val="0"/>
        </c:dLbls>
        <c:marker val="1"/>
        <c:smooth val="0"/>
        <c:axId val="14180687"/>
        <c:axId val="14182351"/>
      </c:lineChart>
      <c:catAx>
        <c:axId val="141806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82351"/>
        <c:crosses val="autoZero"/>
        <c:auto val="1"/>
        <c:lblAlgn val="ctr"/>
        <c:lblOffset val="100"/>
        <c:noMultiLvlLbl val="0"/>
      </c:catAx>
      <c:valAx>
        <c:axId val="141823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806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[Marketing_Data_Analysis.xlsx]Marketing_data!PivotTable1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Device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Marketing_data!$AX$13</c:f>
              <c:strCache>
                <c:ptCount val="1"/>
                <c:pt idx="0">
                  <c:v>Total</c:v>
                </c:pt>
              </c:strCache>
            </c:strRef>
          </c:tx>
          <c:spPr>
            <a:solidFill>
              <a:schemeClr val="accent1"/>
            </a:solidFill>
            <a:ln>
              <a:noFill/>
            </a:ln>
            <a:effectLst/>
          </c:spPr>
          <c:invertIfNegative val="0"/>
          <c:cat>
            <c:strRef>
              <c:f>Marketing_data!$AW$14:$AW$18</c:f>
              <c:strCache>
                <c:ptCount val="4"/>
                <c:pt idx="0">
                  <c:v>Laptop</c:v>
                </c:pt>
                <c:pt idx="1">
                  <c:v>PC</c:v>
                </c:pt>
                <c:pt idx="2">
                  <c:v>Smartphone</c:v>
                </c:pt>
                <c:pt idx="3">
                  <c:v>Tablet</c:v>
                </c:pt>
              </c:strCache>
            </c:strRef>
          </c:cat>
          <c:val>
            <c:numRef>
              <c:f>Marketing_data!$AX$14:$AX$18</c:f>
              <c:numCache>
                <c:formatCode>General</c:formatCode>
                <c:ptCount val="4"/>
                <c:pt idx="0">
                  <c:v>10788400</c:v>
                </c:pt>
                <c:pt idx="1">
                  <c:v>15647960</c:v>
                </c:pt>
                <c:pt idx="2">
                  <c:v>21039280</c:v>
                </c:pt>
                <c:pt idx="3">
                  <c:v>7299350</c:v>
                </c:pt>
              </c:numCache>
            </c:numRef>
          </c:val>
          <c:extLst>
            <c:ext xmlns:c16="http://schemas.microsoft.com/office/drawing/2014/chart" uri="{C3380CC4-5D6E-409C-BE32-E72D297353CC}">
              <c16:uniqueId val="{00000000-411F-4B3B-B4D7-7CED42310527}"/>
            </c:ext>
          </c:extLst>
        </c:ser>
        <c:dLbls>
          <c:showLegendKey val="0"/>
          <c:showVal val="0"/>
          <c:showCatName val="0"/>
          <c:showSerName val="0"/>
          <c:showPercent val="0"/>
          <c:showBubbleSize val="0"/>
        </c:dLbls>
        <c:gapWidth val="219"/>
        <c:overlap val="-27"/>
        <c:axId val="1152603999"/>
        <c:axId val="1152600255"/>
      </c:barChart>
      <c:catAx>
        <c:axId val="11526039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2600255"/>
        <c:crosses val="autoZero"/>
        <c:auto val="1"/>
        <c:lblAlgn val="ctr"/>
        <c:lblOffset val="100"/>
        <c:noMultiLvlLbl val="0"/>
      </c:catAx>
      <c:valAx>
        <c:axId val="11526002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26039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[Marketing_Data_Analysis.xlsx]Marketing_data!PivotTable2</c:name>
    <c:fmtId val="2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Placement Performance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Marketing_data!$AK$23</c:f>
              <c:strCache>
                <c:ptCount val="1"/>
                <c:pt idx="0">
                  <c:v>Sum of Clicks</c:v>
                </c:pt>
              </c:strCache>
            </c:strRef>
          </c:tx>
          <c:spPr>
            <a:solidFill>
              <a:schemeClr val="accent1"/>
            </a:solidFill>
            <a:ln>
              <a:noFill/>
            </a:ln>
            <a:effectLst/>
            <a:sp3d/>
          </c:spPr>
          <c:invertIfNegative val="0"/>
          <c:cat>
            <c:strRef>
              <c:f>Marketing_data!$AJ$24:$AJ$27</c:f>
              <c:strCache>
                <c:ptCount val="3"/>
                <c:pt idx="0">
                  <c:v>Messenger</c:v>
                </c:pt>
                <c:pt idx="1">
                  <c:v>News Feed</c:v>
                </c:pt>
                <c:pt idx="2">
                  <c:v>Stories</c:v>
                </c:pt>
              </c:strCache>
            </c:strRef>
          </c:cat>
          <c:val>
            <c:numRef>
              <c:f>Marketing_data!$AK$24:$AK$27</c:f>
              <c:numCache>
                <c:formatCode>General</c:formatCode>
                <c:ptCount val="3"/>
                <c:pt idx="0">
                  <c:v>41654</c:v>
                </c:pt>
                <c:pt idx="1">
                  <c:v>129156</c:v>
                </c:pt>
                <c:pt idx="2">
                  <c:v>28220</c:v>
                </c:pt>
              </c:numCache>
            </c:numRef>
          </c:val>
          <c:extLst>
            <c:ext xmlns:c16="http://schemas.microsoft.com/office/drawing/2014/chart" uri="{C3380CC4-5D6E-409C-BE32-E72D297353CC}">
              <c16:uniqueId val="{00000000-A70D-47BB-A48F-3DC53EC5FEB9}"/>
            </c:ext>
          </c:extLst>
        </c:ser>
        <c:ser>
          <c:idx val="1"/>
          <c:order val="1"/>
          <c:tx>
            <c:strRef>
              <c:f>Marketing_data!$AL$23</c:f>
              <c:strCache>
                <c:ptCount val="1"/>
                <c:pt idx="0">
                  <c:v>Sum of Leads</c:v>
                </c:pt>
              </c:strCache>
            </c:strRef>
          </c:tx>
          <c:spPr>
            <a:solidFill>
              <a:schemeClr val="accent2"/>
            </a:solidFill>
            <a:ln>
              <a:noFill/>
            </a:ln>
            <a:effectLst/>
            <a:sp3d/>
          </c:spPr>
          <c:invertIfNegative val="0"/>
          <c:cat>
            <c:strRef>
              <c:f>Marketing_data!$AJ$24:$AJ$27</c:f>
              <c:strCache>
                <c:ptCount val="3"/>
                <c:pt idx="0">
                  <c:v>Messenger</c:v>
                </c:pt>
                <c:pt idx="1">
                  <c:v>News Feed</c:v>
                </c:pt>
                <c:pt idx="2">
                  <c:v>Stories</c:v>
                </c:pt>
              </c:strCache>
            </c:strRef>
          </c:cat>
          <c:val>
            <c:numRef>
              <c:f>Marketing_data!$AL$24:$AL$27</c:f>
              <c:numCache>
                <c:formatCode>General</c:formatCode>
                <c:ptCount val="3"/>
                <c:pt idx="0">
                  <c:v>13021</c:v>
                </c:pt>
                <c:pt idx="1">
                  <c:v>38982</c:v>
                </c:pt>
                <c:pt idx="2">
                  <c:v>10613</c:v>
                </c:pt>
              </c:numCache>
            </c:numRef>
          </c:val>
          <c:extLst>
            <c:ext xmlns:c16="http://schemas.microsoft.com/office/drawing/2014/chart" uri="{C3380CC4-5D6E-409C-BE32-E72D297353CC}">
              <c16:uniqueId val="{00000001-A70D-47BB-A48F-3DC53EC5FEB9}"/>
            </c:ext>
          </c:extLst>
        </c:ser>
        <c:ser>
          <c:idx val="2"/>
          <c:order val="2"/>
          <c:tx>
            <c:strRef>
              <c:f>Marketing_data!$AM$23</c:f>
              <c:strCache>
                <c:ptCount val="1"/>
                <c:pt idx="0">
                  <c:v>Sum of Revenue</c:v>
                </c:pt>
              </c:strCache>
            </c:strRef>
          </c:tx>
          <c:spPr>
            <a:solidFill>
              <a:schemeClr val="accent3"/>
            </a:solidFill>
            <a:ln>
              <a:noFill/>
            </a:ln>
            <a:effectLst/>
            <a:sp3d/>
          </c:spPr>
          <c:invertIfNegative val="0"/>
          <c:cat>
            <c:strRef>
              <c:f>Marketing_data!$AJ$24:$AJ$27</c:f>
              <c:strCache>
                <c:ptCount val="3"/>
                <c:pt idx="0">
                  <c:v>Messenger</c:v>
                </c:pt>
                <c:pt idx="1">
                  <c:v>News Feed</c:v>
                </c:pt>
                <c:pt idx="2">
                  <c:v>Stories</c:v>
                </c:pt>
              </c:strCache>
            </c:strRef>
          </c:cat>
          <c:val>
            <c:numRef>
              <c:f>Marketing_data!$AM$24:$AM$27</c:f>
              <c:numCache>
                <c:formatCode>General</c:formatCode>
                <c:ptCount val="3"/>
                <c:pt idx="0">
                  <c:v>9615440</c:v>
                </c:pt>
                <c:pt idx="1">
                  <c:v>34729460</c:v>
                </c:pt>
                <c:pt idx="2">
                  <c:v>10430090</c:v>
                </c:pt>
              </c:numCache>
            </c:numRef>
          </c:val>
          <c:extLst>
            <c:ext xmlns:c16="http://schemas.microsoft.com/office/drawing/2014/chart" uri="{C3380CC4-5D6E-409C-BE32-E72D297353CC}">
              <c16:uniqueId val="{00000002-A70D-47BB-A48F-3DC53EC5FEB9}"/>
            </c:ext>
          </c:extLst>
        </c:ser>
        <c:dLbls>
          <c:showLegendKey val="0"/>
          <c:showVal val="0"/>
          <c:showCatName val="0"/>
          <c:showSerName val="0"/>
          <c:showPercent val="0"/>
          <c:showBubbleSize val="0"/>
        </c:dLbls>
        <c:gapWidth val="150"/>
        <c:shape val="box"/>
        <c:axId val="313223439"/>
        <c:axId val="313223855"/>
        <c:axId val="0"/>
      </c:bar3DChart>
      <c:catAx>
        <c:axId val="31322343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3223855"/>
        <c:crosses val="autoZero"/>
        <c:auto val="1"/>
        <c:lblAlgn val="ctr"/>
        <c:lblOffset val="100"/>
        <c:noMultiLvlLbl val="0"/>
      </c:catAx>
      <c:valAx>
        <c:axId val="31322385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32234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[Marketing_Data_Analysis.xlsx]Marketing_data!PivotTable4</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Targeting</a:t>
            </a:r>
            <a:r>
              <a:rPr lang="en-US" baseline="0"/>
              <a:t> Analysis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Marketing_data!$AY$23</c:f>
              <c:strCache>
                <c:ptCount val="1"/>
                <c:pt idx="0">
                  <c:v>Sum of CTR</c:v>
                </c:pt>
              </c:strCache>
            </c:strRef>
          </c:tx>
          <c:spPr>
            <a:solidFill>
              <a:schemeClr val="accent1"/>
            </a:solidFill>
            <a:ln>
              <a:noFill/>
            </a:ln>
            <a:effectLst/>
            <a:sp3d/>
          </c:spPr>
          <c:invertIfNegative val="0"/>
          <c:cat>
            <c:strRef>
              <c:f>Marketing_data!$AX$24:$AX$28</c:f>
              <c:strCache>
                <c:ptCount val="4"/>
                <c:pt idx="0">
                  <c:v>Behavioral</c:v>
                </c:pt>
                <c:pt idx="1">
                  <c:v>Contextual</c:v>
                </c:pt>
                <c:pt idx="2">
                  <c:v>Geographic</c:v>
                </c:pt>
                <c:pt idx="3">
                  <c:v>Time-based</c:v>
                </c:pt>
              </c:strCache>
            </c:strRef>
          </c:cat>
          <c:val>
            <c:numRef>
              <c:f>Marketing_data!$AY$24:$AY$28</c:f>
              <c:numCache>
                <c:formatCode>General</c:formatCode>
                <c:ptCount val="4"/>
                <c:pt idx="0">
                  <c:v>134.18</c:v>
                </c:pt>
                <c:pt idx="1">
                  <c:v>128.23000000000002</c:v>
                </c:pt>
                <c:pt idx="2">
                  <c:v>85.67</c:v>
                </c:pt>
                <c:pt idx="3">
                  <c:v>113.69</c:v>
                </c:pt>
              </c:numCache>
            </c:numRef>
          </c:val>
          <c:extLst>
            <c:ext xmlns:c16="http://schemas.microsoft.com/office/drawing/2014/chart" uri="{C3380CC4-5D6E-409C-BE32-E72D297353CC}">
              <c16:uniqueId val="{00000000-9BB9-466B-851D-1CB66E9B7482}"/>
            </c:ext>
          </c:extLst>
        </c:ser>
        <c:ser>
          <c:idx val="1"/>
          <c:order val="1"/>
          <c:tx>
            <c:strRef>
              <c:f>Marketing_data!$AZ$23</c:f>
              <c:strCache>
                <c:ptCount val="1"/>
                <c:pt idx="0">
                  <c:v>Sum of Revenue</c:v>
                </c:pt>
              </c:strCache>
            </c:strRef>
          </c:tx>
          <c:spPr>
            <a:solidFill>
              <a:schemeClr val="accent2"/>
            </a:solidFill>
            <a:ln>
              <a:noFill/>
            </a:ln>
            <a:effectLst/>
            <a:sp3d/>
          </c:spPr>
          <c:invertIfNegative val="0"/>
          <c:cat>
            <c:strRef>
              <c:f>Marketing_data!$AX$24:$AX$28</c:f>
              <c:strCache>
                <c:ptCount val="4"/>
                <c:pt idx="0">
                  <c:v>Behavioral</c:v>
                </c:pt>
                <c:pt idx="1">
                  <c:v>Contextual</c:v>
                </c:pt>
                <c:pt idx="2">
                  <c:v>Geographic</c:v>
                </c:pt>
                <c:pt idx="3">
                  <c:v>Time-based</c:v>
                </c:pt>
              </c:strCache>
            </c:strRef>
          </c:cat>
          <c:val>
            <c:numRef>
              <c:f>Marketing_data!$AZ$24:$AZ$28</c:f>
              <c:numCache>
                <c:formatCode>General</c:formatCode>
                <c:ptCount val="4"/>
                <c:pt idx="0">
                  <c:v>23118530</c:v>
                </c:pt>
                <c:pt idx="1">
                  <c:v>13214370</c:v>
                </c:pt>
                <c:pt idx="2">
                  <c:v>9080240</c:v>
                </c:pt>
                <c:pt idx="3">
                  <c:v>9361850</c:v>
                </c:pt>
              </c:numCache>
            </c:numRef>
          </c:val>
          <c:extLst>
            <c:ext xmlns:c16="http://schemas.microsoft.com/office/drawing/2014/chart" uri="{C3380CC4-5D6E-409C-BE32-E72D297353CC}">
              <c16:uniqueId val="{00000001-9BB9-466B-851D-1CB66E9B7482}"/>
            </c:ext>
          </c:extLst>
        </c:ser>
        <c:ser>
          <c:idx val="2"/>
          <c:order val="2"/>
          <c:tx>
            <c:strRef>
              <c:f>Marketing_data!$BA$23</c:f>
              <c:strCache>
                <c:ptCount val="1"/>
                <c:pt idx="0">
                  <c:v>Sum of ROI</c:v>
                </c:pt>
              </c:strCache>
            </c:strRef>
          </c:tx>
          <c:spPr>
            <a:solidFill>
              <a:schemeClr val="accent3"/>
            </a:solidFill>
            <a:ln>
              <a:noFill/>
            </a:ln>
            <a:effectLst/>
            <a:sp3d/>
          </c:spPr>
          <c:invertIfNegative val="0"/>
          <c:cat>
            <c:strRef>
              <c:f>Marketing_data!$AX$24:$AX$28</c:f>
              <c:strCache>
                <c:ptCount val="4"/>
                <c:pt idx="0">
                  <c:v>Behavioral</c:v>
                </c:pt>
                <c:pt idx="1">
                  <c:v>Contextual</c:v>
                </c:pt>
                <c:pt idx="2">
                  <c:v>Geographic</c:v>
                </c:pt>
                <c:pt idx="3">
                  <c:v>Time-based</c:v>
                </c:pt>
              </c:strCache>
            </c:strRef>
          </c:cat>
          <c:val>
            <c:numRef>
              <c:f>Marketing_data!$BA$24:$BA$28</c:f>
              <c:numCache>
                <c:formatCode>General</c:formatCode>
                <c:ptCount val="4"/>
                <c:pt idx="0">
                  <c:v>17487.52</c:v>
                </c:pt>
                <c:pt idx="1">
                  <c:v>4696.8500000000004</c:v>
                </c:pt>
                <c:pt idx="2">
                  <c:v>1661.8900000000006</c:v>
                </c:pt>
                <c:pt idx="3">
                  <c:v>1496.4900000000002</c:v>
                </c:pt>
              </c:numCache>
            </c:numRef>
          </c:val>
          <c:extLst>
            <c:ext xmlns:c16="http://schemas.microsoft.com/office/drawing/2014/chart" uri="{C3380CC4-5D6E-409C-BE32-E72D297353CC}">
              <c16:uniqueId val="{00000002-9BB9-466B-851D-1CB66E9B7482}"/>
            </c:ext>
          </c:extLst>
        </c:ser>
        <c:dLbls>
          <c:showLegendKey val="0"/>
          <c:showVal val="0"/>
          <c:showCatName val="0"/>
          <c:showSerName val="0"/>
          <c:showPercent val="0"/>
          <c:showBubbleSize val="0"/>
        </c:dLbls>
        <c:gapWidth val="150"/>
        <c:shape val="box"/>
        <c:axId val="1153055263"/>
        <c:axId val="1153056511"/>
        <c:axId val="857317791"/>
      </c:bar3DChart>
      <c:catAx>
        <c:axId val="115305526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3056511"/>
        <c:crosses val="autoZero"/>
        <c:auto val="1"/>
        <c:lblAlgn val="ctr"/>
        <c:lblOffset val="100"/>
        <c:noMultiLvlLbl val="0"/>
      </c:catAx>
      <c:valAx>
        <c:axId val="11530565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3055263"/>
        <c:crosses val="autoZero"/>
        <c:crossBetween val="between"/>
      </c:valAx>
      <c:serAx>
        <c:axId val="857317791"/>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3056511"/>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[Marketing_Data_Analysis.xlsx]Marketing_data!PivotTable5</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Ad Display Time Performance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line3DChart>
        <c:grouping val="standard"/>
        <c:varyColors val="0"/>
        <c:ser>
          <c:idx val="0"/>
          <c:order val="0"/>
          <c:tx>
            <c:strRef>
              <c:f>Marketing_data!$BH$25</c:f>
              <c:strCache>
                <c:ptCount val="1"/>
                <c:pt idx="0">
                  <c:v>Sum of Clicks</c:v>
                </c:pt>
              </c:strCache>
            </c:strRef>
          </c:tx>
          <c:spPr>
            <a:solidFill>
              <a:schemeClr val="accent1"/>
            </a:solidFill>
            <a:ln>
              <a:noFill/>
            </a:ln>
            <a:effectLst/>
            <a:sp3d/>
          </c:spPr>
          <c:cat>
            <c:strRef>
              <c:f>Marketing_data!$BG$26:$BG$30</c:f>
              <c:strCache>
                <c:ptCount val="4"/>
                <c:pt idx="0">
                  <c:v>Large</c:v>
                </c:pt>
                <c:pt idx="1">
                  <c:v>Long</c:v>
                </c:pt>
                <c:pt idx="2">
                  <c:v>Medium</c:v>
                </c:pt>
                <c:pt idx="3">
                  <c:v>Small</c:v>
                </c:pt>
              </c:strCache>
            </c:strRef>
          </c:cat>
          <c:val>
            <c:numRef>
              <c:f>Marketing_data!$BH$26:$BH$30</c:f>
              <c:numCache>
                <c:formatCode>General</c:formatCode>
                <c:ptCount val="4"/>
                <c:pt idx="0">
                  <c:v>48504</c:v>
                </c:pt>
                <c:pt idx="1">
                  <c:v>28786</c:v>
                </c:pt>
                <c:pt idx="2">
                  <c:v>37309</c:v>
                </c:pt>
                <c:pt idx="3">
                  <c:v>84431</c:v>
                </c:pt>
              </c:numCache>
            </c:numRef>
          </c:val>
          <c:smooth val="0"/>
          <c:extLst>
            <c:ext xmlns:c16="http://schemas.microsoft.com/office/drawing/2014/chart" uri="{C3380CC4-5D6E-409C-BE32-E72D297353CC}">
              <c16:uniqueId val="{00000000-7ABE-4869-8F9D-183281DD109C}"/>
            </c:ext>
          </c:extLst>
        </c:ser>
        <c:ser>
          <c:idx val="1"/>
          <c:order val="1"/>
          <c:tx>
            <c:strRef>
              <c:f>Marketing_data!$BI$25</c:f>
              <c:strCache>
                <c:ptCount val="1"/>
                <c:pt idx="0">
                  <c:v>Sum of Revenue</c:v>
                </c:pt>
              </c:strCache>
            </c:strRef>
          </c:tx>
          <c:spPr>
            <a:solidFill>
              <a:schemeClr val="accent2"/>
            </a:solidFill>
            <a:ln>
              <a:noFill/>
            </a:ln>
            <a:effectLst/>
            <a:sp3d/>
          </c:spPr>
          <c:cat>
            <c:strRef>
              <c:f>Marketing_data!$BG$26:$BG$30</c:f>
              <c:strCache>
                <c:ptCount val="4"/>
                <c:pt idx="0">
                  <c:v>Large</c:v>
                </c:pt>
                <c:pt idx="1">
                  <c:v>Long</c:v>
                </c:pt>
                <c:pt idx="2">
                  <c:v>Medium</c:v>
                </c:pt>
                <c:pt idx="3">
                  <c:v>Small</c:v>
                </c:pt>
              </c:strCache>
            </c:strRef>
          </c:cat>
          <c:val>
            <c:numRef>
              <c:f>Marketing_data!$BI$26:$BI$30</c:f>
              <c:numCache>
                <c:formatCode>General</c:formatCode>
                <c:ptCount val="4"/>
                <c:pt idx="0">
                  <c:v>12582950</c:v>
                </c:pt>
                <c:pt idx="1">
                  <c:v>11491630</c:v>
                </c:pt>
                <c:pt idx="2">
                  <c:v>11527940</c:v>
                </c:pt>
                <c:pt idx="3">
                  <c:v>19172470</c:v>
                </c:pt>
              </c:numCache>
            </c:numRef>
          </c:val>
          <c:smooth val="0"/>
          <c:extLst>
            <c:ext xmlns:c16="http://schemas.microsoft.com/office/drawing/2014/chart" uri="{C3380CC4-5D6E-409C-BE32-E72D297353CC}">
              <c16:uniqueId val="{00000001-7ABE-4869-8F9D-183281DD109C}"/>
            </c:ext>
          </c:extLst>
        </c:ser>
        <c:dLbls>
          <c:showLegendKey val="0"/>
          <c:showVal val="0"/>
          <c:showCatName val="0"/>
          <c:showSerName val="0"/>
          <c:showPercent val="0"/>
          <c:showBubbleSize val="0"/>
        </c:dLbls>
        <c:axId val="1159797039"/>
        <c:axId val="1159799535"/>
        <c:axId val="1956727951"/>
      </c:line3DChart>
      <c:catAx>
        <c:axId val="115979703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9799535"/>
        <c:crosses val="autoZero"/>
        <c:auto val="1"/>
        <c:lblAlgn val="ctr"/>
        <c:lblOffset val="100"/>
        <c:noMultiLvlLbl val="0"/>
      </c:catAx>
      <c:valAx>
        <c:axId val="11597995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9797039"/>
        <c:crosses val="autoZero"/>
        <c:crossBetween val="between"/>
      </c:valAx>
      <c:serAx>
        <c:axId val="1956727951"/>
        <c:scaling>
          <c:orientation val="minMax"/>
        </c:scaling>
        <c:delete val="0"/>
        <c:axPos val="b"/>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9799535"/>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[Marketing_Data_Analysis.xlsx]Marketing_data!PivotTable7</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Profit by Design Method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Marketing_data!$BB$50</c:f>
              <c:strCache>
                <c:ptCount val="1"/>
                <c:pt idx="0">
                  <c:v>Sum of Net_profit</c:v>
                </c:pt>
              </c:strCache>
            </c:strRef>
          </c:tx>
          <c:spPr>
            <a:solidFill>
              <a:schemeClr val="accent1"/>
            </a:solidFill>
            <a:ln>
              <a:noFill/>
            </a:ln>
            <a:effectLst/>
            <a:sp3d/>
          </c:spPr>
          <c:invertIfNegative val="0"/>
          <c:cat>
            <c:strRef>
              <c:f>Marketing_data!$BA$51:$BA$54</c:f>
              <c:strCache>
                <c:ptCount val="3"/>
                <c:pt idx="0">
                  <c:v>Carousel</c:v>
                </c:pt>
                <c:pt idx="1">
                  <c:v>Images</c:v>
                </c:pt>
                <c:pt idx="2">
                  <c:v>Post</c:v>
                </c:pt>
              </c:strCache>
            </c:strRef>
          </c:cat>
          <c:val>
            <c:numRef>
              <c:f>Marketing_data!$BB$51:$BB$54</c:f>
              <c:numCache>
                <c:formatCode>General</c:formatCode>
                <c:ptCount val="3"/>
                <c:pt idx="0">
                  <c:v>806104</c:v>
                </c:pt>
                <c:pt idx="1">
                  <c:v>1709093</c:v>
                </c:pt>
                <c:pt idx="2">
                  <c:v>1680343</c:v>
                </c:pt>
              </c:numCache>
            </c:numRef>
          </c:val>
          <c:extLst>
            <c:ext xmlns:c16="http://schemas.microsoft.com/office/drawing/2014/chart" uri="{C3380CC4-5D6E-409C-BE32-E72D297353CC}">
              <c16:uniqueId val="{00000000-BEB3-4121-83DD-EAF28CFE1618}"/>
            </c:ext>
          </c:extLst>
        </c:ser>
        <c:ser>
          <c:idx val="1"/>
          <c:order val="1"/>
          <c:tx>
            <c:strRef>
              <c:f>Marketing_data!$BC$50</c:f>
              <c:strCache>
                <c:ptCount val="1"/>
                <c:pt idx="0">
                  <c:v>Sum of ROI</c:v>
                </c:pt>
              </c:strCache>
            </c:strRef>
          </c:tx>
          <c:spPr>
            <a:solidFill>
              <a:schemeClr val="accent2"/>
            </a:solidFill>
            <a:ln>
              <a:noFill/>
            </a:ln>
            <a:effectLst/>
            <a:sp3d/>
          </c:spPr>
          <c:invertIfNegative val="0"/>
          <c:cat>
            <c:strRef>
              <c:f>Marketing_data!$BA$51:$BA$54</c:f>
              <c:strCache>
                <c:ptCount val="3"/>
                <c:pt idx="0">
                  <c:v>Carousel</c:v>
                </c:pt>
                <c:pt idx="1">
                  <c:v>Images</c:v>
                </c:pt>
                <c:pt idx="2">
                  <c:v>Post</c:v>
                </c:pt>
              </c:strCache>
            </c:strRef>
          </c:cat>
          <c:val>
            <c:numRef>
              <c:f>Marketing_data!$BC$51:$BC$54</c:f>
              <c:numCache>
                <c:formatCode>General</c:formatCode>
                <c:ptCount val="3"/>
                <c:pt idx="0">
                  <c:v>3269.39</c:v>
                </c:pt>
                <c:pt idx="1">
                  <c:v>10339</c:v>
                </c:pt>
                <c:pt idx="2">
                  <c:v>11734.36</c:v>
                </c:pt>
              </c:numCache>
            </c:numRef>
          </c:val>
          <c:extLst>
            <c:ext xmlns:c16="http://schemas.microsoft.com/office/drawing/2014/chart" uri="{C3380CC4-5D6E-409C-BE32-E72D297353CC}">
              <c16:uniqueId val="{00000001-BEB3-4121-83DD-EAF28CFE1618}"/>
            </c:ext>
          </c:extLst>
        </c:ser>
        <c:dLbls>
          <c:showLegendKey val="0"/>
          <c:showVal val="0"/>
          <c:showCatName val="0"/>
          <c:showSerName val="0"/>
          <c:showPercent val="0"/>
          <c:showBubbleSize val="0"/>
        </c:dLbls>
        <c:gapWidth val="150"/>
        <c:shape val="box"/>
        <c:axId val="14189423"/>
        <c:axId val="14173615"/>
        <c:axId val="0"/>
      </c:bar3DChart>
      <c:catAx>
        <c:axId val="1418942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73615"/>
        <c:crosses val="autoZero"/>
        <c:auto val="1"/>
        <c:lblAlgn val="ctr"/>
        <c:lblOffset val="100"/>
        <c:noMultiLvlLbl val="0"/>
      </c:catAx>
      <c:valAx>
        <c:axId val="1417361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894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0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30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10.xml"/><Relationship Id="rId2" Type="http://schemas.openxmlformats.org/officeDocument/2006/relationships/chart" Target="../charts/chart9.xml"/><Relationship Id="rId1" Type="http://schemas.openxmlformats.org/officeDocument/2006/relationships/chart" Target="../charts/chart8.xml"/><Relationship Id="rId5" Type="http://schemas.openxmlformats.org/officeDocument/2006/relationships/chart" Target="../charts/chart12.xml"/><Relationship Id="rId4"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37</xdr:col>
      <xdr:colOff>472440</xdr:colOff>
      <xdr:row>5</xdr:row>
      <xdr:rowOff>0</xdr:rowOff>
    </xdr:from>
    <xdr:to>
      <xdr:col>45</xdr:col>
      <xdr:colOff>144780</xdr:colOff>
      <xdr:row>20</xdr:row>
      <xdr:rowOff>11430</xdr:rowOff>
    </xdr:to>
    <xdr:graphicFrame macro="">
      <xdr:nvGraphicFramePr>
        <xdr:cNvPr id="2" name="Chart 1">
          <a:extLst>
            <a:ext uri="{FF2B5EF4-FFF2-40B4-BE49-F238E27FC236}">
              <a16:creationId xmlns:a16="http://schemas.microsoft.com/office/drawing/2014/main" id="{A8216F19-FFC0-4037-AF8B-3C9A4479F65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39</xdr:col>
      <xdr:colOff>502920</xdr:colOff>
      <xdr:row>21</xdr:row>
      <xdr:rowOff>26670</xdr:rowOff>
    </xdr:from>
    <xdr:to>
      <xdr:col>47</xdr:col>
      <xdr:colOff>198120</xdr:colOff>
      <xdr:row>36</xdr:row>
      <xdr:rowOff>26670</xdr:rowOff>
    </xdr:to>
    <xdr:graphicFrame macro="">
      <xdr:nvGraphicFramePr>
        <xdr:cNvPr id="3" name="Chart 2">
          <a:extLst>
            <a:ext uri="{FF2B5EF4-FFF2-40B4-BE49-F238E27FC236}">
              <a16:creationId xmlns:a16="http://schemas.microsoft.com/office/drawing/2014/main" id="{8B2973F1-C8B0-4253-9B8E-F05270B44DD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48</xdr:col>
      <xdr:colOff>723900</xdr:colOff>
      <xdr:row>28</xdr:row>
      <xdr:rowOff>80010</xdr:rowOff>
    </xdr:from>
    <xdr:to>
      <xdr:col>54</xdr:col>
      <xdr:colOff>495300</xdr:colOff>
      <xdr:row>43</xdr:row>
      <xdr:rowOff>80010</xdr:rowOff>
    </xdr:to>
    <xdr:graphicFrame macro="">
      <xdr:nvGraphicFramePr>
        <xdr:cNvPr id="4" name="Chart 3">
          <a:extLst>
            <a:ext uri="{FF2B5EF4-FFF2-40B4-BE49-F238E27FC236}">
              <a16:creationId xmlns:a16="http://schemas.microsoft.com/office/drawing/2014/main" id="{8625A805-2392-48C6-A926-783AEBDED34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61</xdr:col>
      <xdr:colOff>495300</xdr:colOff>
      <xdr:row>21</xdr:row>
      <xdr:rowOff>26670</xdr:rowOff>
    </xdr:from>
    <xdr:to>
      <xdr:col>69</xdr:col>
      <xdr:colOff>190500</xdr:colOff>
      <xdr:row>36</xdr:row>
      <xdr:rowOff>26670</xdr:rowOff>
    </xdr:to>
    <xdr:graphicFrame macro="">
      <xdr:nvGraphicFramePr>
        <xdr:cNvPr id="6" name="Chart 5">
          <a:extLst>
            <a:ext uri="{FF2B5EF4-FFF2-40B4-BE49-F238E27FC236}">
              <a16:creationId xmlns:a16="http://schemas.microsoft.com/office/drawing/2014/main" id="{6AC7B0D6-21D5-4DAA-8EB4-73ACAE8B709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61</xdr:col>
      <xdr:colOff>281940</xdr:colOff>
      <xdr:row>37</xdr:row>
      <xdr:rowOff>41910</xdr:rowOff>
    </xdr:from>
    <xdr:to>
      <xdr:col>68</xdr:col>
      <xdr:colOff>586740</xdr:colOff>
      <xdr:row>52</xdr:row>
      <xdr:rowOff>41910</xdr:rowOff>
    </xdr:to>
    <xdr:graphicFrame macro="">
      <xdr:nvGraphicFramePr>
        <xdr:cNvPr id="7" name="Chart 6">
          <a:extLst>
            <a:ext uri="{FF2B5EF4-FFF2-40B4-BE49-F238E27FC236}">
              <a16:creationId xmlns:a16="http://schemas.microsoft.com/office/drawing/2014/main" id="{D4A261D6-ADF9-4461-B73A-43134F82106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50</xdr:col>
      <xdr:colOff>693420</xdr:colOff>
      <xdr:row>54</xdr:row>
      <xdr:rowOff>26670</xdr:rowOff>
    </xdr:from>
    <xdr:to>
      <xdr:col>56</xdr:col>
      <xdr:colOff>213360</xdr:colOff>
      <xdr:row>69</xdr:row>
      <xdr:rowOff>26670</xdr:rowOff>
    </xdr:to>
    <xdr:graphicFrame macro="">
      <xdr:nvGraphicFramePr>
        <xdr:cNvPr id="9" name="Chart 8">
          <a:extLst>
            <a:ext uri="{FF2B5EF4-FFF2-40B4-BE49-F238E27FC236}">
              <a16:creationId xmlns:a16="http://schemas.microsoft.com/office/drawing/2014/main" id="{D1C21277-F156-40C5-AAB4-522251D3C77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59</xdr:col>
      <xdr:colOff>441960</xdr:colOff>
      <xdr:row>61</xdr:row>
      <xdr:rowOff>171450</xdr:rowOff>
    </xdr:from>
    <xdr:to>
      <xdr:col>64</xdr:col>
      <xdr:colOff>22860</xdr:colOff>
      <xdr:row>76</xdr:row>
      <xdr:rowOff>171450</xdr:rowOff>
    </xdr:to>
    <xdr:graphicFrame macro="">
      <xdr:nvGraphicFramePr>
        <xdr:cNvPr id="10" name="Chart 9">
          <a:extLst>
            <a:ext uri="{FF2B5EF4-FFF2-40B4-BE49-F238E27FC236}">
              <a16:creationId xmlns:a16="http://schemas.microsoft.com/office/drawing/2014/main" id="{2E1A45E7-361D-408B-BD33-CC2C0D392F5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absolute">
    <xdr:from>
      <xdr:col>35</xdr:col>
      <xdr:colOff>693420</xdr:colOff>
      <xdr:row>36</xdr:row>
      <xdr:rowOff>121920</xdr:rowOff>
    </xdr:from>
    <xdr:to>
      <xdr:col>37</xdr:col>
      <xdr:colOff>830580</xdr:colOff>
      <xdr:row>50</xdr:row>
      <xdr:rowOff>28575</xdr:rowOff>
    </xdr:to>
    <mc:AlternateContent xmlns:mc="http://schemas.openxmlformats.org/markup-compatibility/2006" xmlns:sle15="http://schemas.microsoft.com/office/drawing/2012/slicer">
      <mc:Choice Requires="sle15">
        <xdr:graphicFrame macro="">
          <xdr:nvGraphicFramePr>
            <xdr:cNvPr id="11" name="Ad_display_time">
              <a:extLst>
                <a:ext uri="{FF2B5EF4-FFF2-40B4-BE49-F238E27FC236}">
                  <a16:creationId xmlns:a16="http://schemas.microsoft.com/office/drawing/2014/main" id="{3A54B035-BAB0-4A37-BB34-6121A6B553B6}"/>
                </a:ext>
              </a:extLst>
            </xdr:cNvPr>
            <xdr:cNvGraphicFramePr/>
          </xdr:nvGraphicFramePr>
          <xdr:xfrm>
            <a:off x="0" y="0"/>
            <a:ext cx="0" cy="0"/>
          </xdr:xfrm>
          <a:graphic>
            <a:graphicData uri="http://schemas.microsoft.com/office/drawing/2010/slicer">
              <sle:slicer xmlns:sle="http://schemas.microsoft.com/office/drawing/2010/slicer" name="Ad_display_time"/>
            </a:graphicData>
          </a:graphic>
        </xdr:graphicFrame>
      </mc:Choice>
      <mc:Fallback xmlns="">
        <xdr:sp macro="" textlink="">
          <xdr:nvSpPr>
            <xdr:cNvPr id="0" name=""/>
            <xdr:cNvSpPr>
              <a:spLocks noTextEdit="1"/>
            </xdr:cNvSpPr>
          </xdr:nvSpPr>
          <xdr:spPr>
            <a:xfrm>
              <a:off x="31409640" y="670560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38</xdr:col>
      <xdr:colOff>350520</xdr:colOff>
      <xdr:row>36</xdr:row>
      <xdr:rowOff>152400</xdr:rowOff>
    </xdr:from>
    <xdr:to>
      <xdr:col>40</xdr:col>
      <xdr:colOff>548640</xdr:colOff>
      <xdr:row>50</xdr:row>
      <xdr:rowOff>59055</xdr:rowOff>
    </xdr:to>
    <mc:AlternateContent xmlns:mc="http://schemas.openxmlformats.org/markup-compatibility/2006" xmlns:sle15="http://schemas.microsoft.com/office/drawing/2012/slicer">
      <mc:Choice Requires="sle15">
        <xdr:graphicFrame macro="">
          <xdr:nvGraphicFramePr>
            <xdr:cNvPr id="12" name="Targeting_type">
              <a:extLst>
                <a:ext uri="{FF2B5EF4-FFF2-40B4-BE49-F238E27FC236}">
                  <a16:creationId xmlns:a16="http://schemas.microsoft.com/office/drawing/2014/main" id="{F33A7068-F003-40A9-AE18-D9DAF6D08A6C}"/>
                </a:ext>
              </a:extLst>
            </xdr:cNvPr>
            <xdr:cNvGraphicFramePr/>
          </xdr:nvGraphicFramePr>
          <xdr:xfrm>
            <a:off x="0" y="0"/>
            <a:ext cx="0" cy="0"/>
          </xdr:xfrm>
          <a:graphic>
            <a:graphicData uri="http://schemas.microsoft.com/office/drawing/2010/slicer">
              <sle:slicer xmlns:sle="http://schemas.microsoft.com/office/drawing/2010/slicer" name="Targeting_type"/>
            </a:graphicData>
          </a:graphic>
        </xdr:graphicFrame>
      </mc:Choice>
      <mc:Fallback xmlns="">
        <xdr:sp macro="" textlink="">
          <xdr:nvSpPr>
            <xdr:cNvPr id="0" name=""/>
            <xdr:cNvSpPr>
              <a:spLocks noTextEdit="1"/>
            </xdr:cNvSpPr>
          </xdr:nvSpPr>
          <xdr:spPr>
            <a:xfrm>
              <a:off x="33596580" y="673608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41</xdr:col>
      <xdr:colOff>236220</xdr:colOff>
      <xdr:row>36</xdr:row>
      <xdr:rowOff>175260</xdr:rowOff>
    </xdr:from>
    <xdr:to>
      <xdr:col>44</xdr:col>
      <xdr:colOff>236220</xdr:colOff>
      <xdr:row>50</xdr:row>
      <xdr:rowOff>81915</xdr:rowOff>
    </xdr:to>
    <mc:AlternateContent xmlns:mc="http://schemas.openxmlformats.org/markup-compatibility/2006" xmlns:sle15="http://schemas.microsoft.com/office/drawing/2012/slicer">
      <mc:Choice Requires="sle15">
        <xdr:graphicFrame macro="">
          <xdr:nvGraphicFramePr>
            <xdr:cNvPr id="13" name="Advertising_placement">
              <a:extLst>
                <a:ext uri="{FF2B5EF4-FFF2-40B4-BE49-F238E27FC236}">
                  <a16:creationId xmlns:a16="http://schemas.microsoft.com/office/drawing/2014/main" id="{113268D2-86AD-4EE9-BE19-7702C5299328}"/>
                </a:ext>
              </a:extLst>
            </xdr:cNvPr>
            <xdr:cNvGraphicFramePr/>
          </xdr:nvGraphicFramePr>
          <xdr:xfrm>
            <a:off x="0" y="0"/>
            <a:ext cx="0" cy="0"/>
          </xdr:xfrm>
          <a:graphic>
            <a:graphicData uri="http://schemas.microsoft.com/office/drawing/2010/slicer">
              <sle:slicer xmlns:sle="http://schemas.microsoft.com/office/drawing/2010/slicer" name="Advertising_placement"/>
            </a:graphicData>
          </a:graphic>
        </xdr:graphicFrame>
      </mc:Choice>
      <mc:Fallback xmlns="">
        <xdr:sp macro="" textlink="">
          <xdr:nvSpPr>
            <xdr:cNvPr id="0" name=""/>
            <xdr:cNvSpPr>
              <a:spLocks noTextEdit="1"/>
            </xdr:cNvSpPr>
          </xdr:nvSpPr>
          <xdr:spPr>
            <a:xfrm>
              <a:off x="35722560" y="675894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45</xdr:col>
      <xdr:colOff>7620</xdr:colOff>
      <xdr:row>36</xdr:row>
      <xdr:rowOff>175260</xdr:rowOff>
    </xdr:from>
    <xdr:to>
      <xdr:col>48</xdr:col>
      <xdr:colOff>7620</xdr:colOff>
      <xdr:row>50</xdr:row>
      <xdr:rowOff>81915</xdr:rowOff>
    </xdr:to>
    <mc:AlternateContent xmlns:mc="http://schemas.openxmlformats.org/markup-compatibility/2006" xmlns:sle15="http://schemas.microsoft.com/office/drawing/2012/slicer">
      <mc:Choice Requires="sle15">
        <xdr:graphicFrame macro="">
          <xdr:nvGraphicFramePr>
            <xdr:cNvPr id="14" name="User_device">
              <a:extLst>
                <a:ext uri="{FF2B5EF4-FFF2-40B4-BE49-F238E27FC236}">
                  <a16:creationId xmlns:a16="http://schemas.microsoft.com/office/drawing/2014/main" id="{F25A6494-9A88-459A-9870-45608596FBD0}"/>
                </a:ext>
              </a:extLst>
            </xdr:cNvPr>
            <xdr:cNvGraphicFramePr/>
          </xdr:nvGraphicFramePr>
          <xdr:xfrm>
            <a:off x="0" y="0"/>
            <a:ext cx="0" cy="0"/>
          </xdr:xfrm>
          <a:graphic>
            <a:graphicData uri="http://schemas.microsoft.com/office/drawing/2010/slicer">
              <sle:slicer xmlns:sle="http://schemas.microsoft.com/office/drawing/2010/slicer" name="User_device"/>
            </a:graphicData>
          </a:graphic>
        </xdr:graphicFrame>
      </mc:Choice>
      <mc:Fallback xmlns="">
        <xdr:sp macro="" textlink="">
          <xdr:nvSpPr>
            <xdr:cNvPr id="0" name=""/>
            <xdr:cNvSpPr>
              <a:spLocks noTextEdit="1"/>
            </xdr:cNvSpPr>
          </xdr:nvSpPr>
          <xdr:spPr>
            <a:xfrm>
              <a:off x="37932360" y="675894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281940</xdr:colOff>
      <xdr:row>8</xdr:row>
      <xdr:rowOff>15240</xdr:rowOff>
    </xdr:from>
    <xdr:to>
      <xdr:col>2</xdr:col>
      <xdr:colOff>1386840</xdr:colOff>
      <xdr:row>17</xdr:row>
      <xdr:rowOff>45720</xdr:rowOff>
    </xdr:to>
    <xdr:graphicFrame macro="">
      <xdr:nvGraphicFramePr>
        <xdr:cNvPr id="2" name="Chart 1">
          <a:extLst>
            <a:ext uri="{FF2B5EF4-FFF2-40B4-BE49-F238E27FC236}">
              <a16:creationId xmlns:a16="http://schemas.microsoft.com/office/drawing/2014/main" id="{9ACEA7B6-70DA-4204-A671-C9CC3ECACA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213360</xdr:colOff>
      <xdr:row>8</xdr:row>
      <xdr:rowOff>38100</xdr:rowOff>
    </xdr:from>
    <xdr:to>
      <xdr:col>7</xdr:col>
      <xdr:colOff>91440</xdr:colOff>
      <xdr:row>17</xdr:row>
      <xdr:rowOff>38100</xdr:rowOff>
    </xdr:to>
    <xdr:graphicFrame macro="">
      <xdr:nvGraphicFramePr>
        <xdr:cNvPr id="3" name="Chart 2">
          <a:extLst>
            <a:ext uri="{FF2B5EF4-FFF2-40B4-BE49-F238E27FC236}">
              <a16:creationId xmlns:a16="http://schemas.microsoft.com/office/drawing/2014/main" id="{09597609-983B-418F-9D4A-3D92D7888C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289560</xdr:colOff>
      <xdr:row>8</xdr:row>
      <xdr:rowOff>22860</xdr:rowOff>
    </xdr:from>
    <xdr:to>
      <xdr:col>10</xdr:col>
      <xdr:colOff>358140</xdr:colOff>
      <xdr:row>17</xdr:row>
      <xdr:rowOff>30480</xdr:rowOff>
    </xdr:to>
    <xdr:graphicFrame macro="">
      <xdr:nvGraphicFramePr>
        <xdr:cNvPr id="4" name="Chart 3">
          <a:extLst>
            <a:ext uri="{FF2B5EF4-FFF2-40B4-BE49-F238E27FC236}">
              <a16:creationId xmlns:a16="http://schemas.microsoft.com/office/drawing/2014/main" id="{628EB55A-337E-4233-8E5F-976C04AE11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525780</xdr:colOff>
      <xdr:row>8</xdr:row>
      <xdr:rowOff>7620</xdr:rowOff>
    </xdr:from>
    <xdr:to>
      <xdr:col>15</xdr:col>
      <xdr:colOff>243840</xdr:colOff>
      <xdr:row>17</xdr:row>
      <xdr:rowOff>15240</xdr:rowOff>
    </xdr:to>
    <xdr:graphicFrame macro="">
      <xdr:nvGraphicFramePr>
        <xdr:cNvPr id="5" name="Chart 4">
          <a:extLst>
            <a:ext uri="{FF2B5EF4-FFF2-40B4-BE49-F238E27FC236}">
              <a16:creationId xmlns:a16="http://schemas.microsoft.com/office/drawing/2014/main" id="{7AC67EFA-2DE4-45EB-AEEC-B9147BA2CF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419100</xdr:colOff>
      <xdr:row>7</xdr:row>
      <xdr:rowOff>281940</xdr:rowOff>
    </xdr:from>
    <xdr:to>
      <xdr:col>20</xdr:col>
      <xdr:colOff>304800</xdr:colOff>
      <xdr:row>17</xdr:row>
      <xdr:rowOff>7620</xdr:rowOff>
    </xdr:to>
    <xdr:graphicFrame macro="">
      <xdr:nvGraphicFramePr>
        <xdr:cNvPr id="6" name="Chart 5">
          <a:extLst>
            <a:ext uri="{FF2B5EF4-FFF2-40B4-BE49-F238E27FC236}">
              <a16:creationId xmlns:a16="http://schemas.microsoft.com/office/drawing/2014/main" id="{E151787B-6C6F-4267-ABF7-2129AA0D7D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absolute">
    <xdr:from>
      <xdr:col>0</xdr:col>
      <xdr:colOff>312420</xdr:colOff>
      <xdr:row>17</xdr:row>
      <xdr:rowOff>144781</xdr:rowOff>
    </xdr:from>
    <xdr:to>
      <xdr:col>2</xdr:col>
      <xdr:colOff>922020</xdr:colOff>
      <xdr:row>26</xdr:row>
      <xdr:rowOff>15241</xdr:rowOff>
    </xdr:to>
    <mc:AlternateContent xmlns:mc="http://schemas.openxmlformats.org/markup-compatibility/2006">
      <mc:Choice xmlns:sle15="http://schemas.microsoft.com/office/drawing/2012/slicer" Requires="sle15">
        <xdr:graphicFrame macro="">
          <xdr:nvGraphicFramePr>
            <xdr:cNvPr id="8" name="User_device 1">
              <a:extLst>
                <a:ext uri="{FF2B5EF4-FFF2-40B4-BE49-F238E27FC236}">
                  <a16:creationId xmlns:a16="http://schemas.microsoft.com/office/drawing/2014/main" id="{F1B0D5E3-0993-433A-A523-C779AF498940}"/>
                </a:ext>
              </a:extLst>
            </xdr:cNvPr>
            <xdr:cNvGraphicFramePr/>
          </xdr:nvGraphicFramePr>
          <xdr:xfrm>
            <a:off x="0" y="0"/>
            <a:ext cx="0" cy="0"/>
          </xdr:xfrm>
          <a:graphic>
            <a:graphicData uri="http://schemas.microsoft.com/office/drawing/2010/slicer">
              <sle:slicer xmlns:sle="http://schemas.microsoft.com/office/drawing/2010/slicer" name="User_device 1"/>
            </a:graphicData>
          </a:graphic>
        </xdr:graphicFrame>
      </mc:Choice>
      <mc:Fallback>
        <xdr:sp macro="" textlink="">
          <xdr:nvSpPr>
            <xdr:cNvPr id="0" name=""/>
            <xdr:cNvSpPr>
              <a:spLocks noTextEdit="1"/>
            </xdr:cNvSpPr>
          </xdr:nvSpPr>
          <xdr:spPr>
            <a:xfrm>
              <a:off x="312420" y="3550921"/>
              <a:ext cx="1828800" cy="151638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3</xdr:col>
      <xdr:colOff>281940</xdr:colOff>
      <xdr:row>17</xdr:row>
      <xdr:rowOff>152401</xdr:rowOff>
    </xdr:from>
    <xdr:to>
      <xdr:col>6</xdr:col>
      <xdr:colOff>99060</xdr:colOff>
      <xdr:row>25</xdr:row>
      <xdr:rowOff>137161</xdr:rowOff>
    </xdr:to>
    <mc:AlternateContent xmlns:mc="http://schemas.openxmlformats.org/markup-compatibility/2006">
      <mc:Choice xmlns:sle15="http://schemas.microsoft.com/office/drawing/2012/slicer" Requires="sle15">
        <xdr:graphicFrame macro="">
          <xdr:nvGraphicFramePr>
            <xdr:cNvPr id="11" name="Advertising_placement 1">
              <a:extLst>
                <a:ext uri="{FF2B5EF4-FFF2-40B4-BE49-F238E27FC236}">
                  <a16:creationId xmlns:a16="http://schemas.microsoft.com/office/drawing/2014/main" id="{2184AB04-2F8E-4D88-8FD8-A5346D33F0DB}"/>
                </a:ext>
              </a:extLst>
            </xdr:cNvPr>
            <xdr:cNvGraphicFramePr/>
          </xdr:nvGraphicFramePr>
          <xdr:xfrm>
            <a:off x="0" y="0"/>
            <a:ext cx="0" cy="0"/>
          </xdr:xfrm>
          <a:graphic>
            <a:graphicData uri="http://schemas.microsoft.com/office/drawing/2010/slicer">
              <sle:slicer xmlns:sle="http://schemas.microsoft.com/office/drawing/2010/slicer" name="Advertising_placement 1"/>
            </a:graphicData>
          </a:graphic>
        </xdr:graphicFrame>
      </mc:Choice>
      <mc:Fallback>
        <xdr:sp macro="" textlink="">
          <xdr:nvSpPr>
            <xdr:cNvPr id="0" name=""/>
            <xdr:cNvSpPr>
              <a:spLocks noTextEdit="1"/>
            </xdr:cNvSpPr>
          </xdr:nvSpPr>
          <xdr:spPr>
            <a:xfrm>
              <a:off x="2895600" y="3558541"/>
              <a:ext cx="1828800" cy="144780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7</xdr:col>
      <xdr:colOff>304800</xdr:colOff>
      <xdr:row>17</xdr:row>
      <xdr:rowOff>175261</xdr:rowOff>
    </xdr:from>
    <xdr:to>
      <xdr:col>10</xdr:col>
      <xdr:colOff>304800</xdr:colOff>
      <xdr:row>26</xdr:row>
      <xdr:rowOff>15241</xdr:rowOff>
    </xdr:to>
    <mc:AlternateContent xmlns:mc="http://schemas.openxmlformats.org/markup-compatibility/2006">
      <mc:Choice xmlns:sle15="http://schemas.microsoft.com/office/drawing/2012/slicer" Requires="sle15">
        <xdr:graphicFrame macro="">
          <xdr:nvGraphicFramePr>
            <xdr:cNvPr id="13" name="Targeting_type 1">
              <a:extLst>
                <a:ext uri="{FF2B5EF4-FFF2-40B4-BE49-F238E27FC236}">
                  <a16:creationId xmlns:a16="http://schemas.microsoft.com/office/drawing/2014/main" id="{49E591B8-4C7F-4746-A05F-F5228C038446}"/>
                </a:ext>
              </a:extLst>
            </xdr:cNvPr>
            <xdr:cNvGraphicFramePr/>
          </xdr:nvGraphicFramePr>
          <xdr:xfrm>
            <a:off x="0" y="0"/>
            <a:ext cx="0" cy="0"/>
          </xdr:xfrm>
          <a:graphic>
            <a:graphicData uri="http://schemas.microsoft.com/office/drawing/2010/slicer">
              <sle:slicer xmlns:sle="http://schemas.microsoft.com/office/drawing/2010/slicer" name="Targeting_type 1"/>
            </a:graphicData>
          </a:graphic>
        </xdr:graphicFrame>
      </mc:Choice>
      <mc:Fallback>
        <xdr:sp macro="" textlink="">
          <xdr:nvSpPr>
            <xdr:cNvPr id="0" name=""/>
            <xdr:cNvSpPr>
              <a:spLocks noTextEdit="1"/>
            </xdr:cNvSpPr>
          </xdr:nvSpPr>
          <xdr:spPr>
            <a:xfrm>
              <a:off x="5539740" y="3581401"/>
              <a:ext cx="1828800" cy="148590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10</xdr:col>
      <xdr:colOff>601980</xdr:colOff>
      <xdr:row>17</xdr:row>
      <xdr:rowOff>144781</xdr:rowOff>
    </xdr:from>
    <xdr:to>
      <xdr:col>13</xdr:col>
      <xdr:colOff>601980</xdr:colOff>
      <xdr:row>25</xdr:row>
      <xdr:rowOff>167641</xdr:rowOff>
    </xdr:to>
    <mc:AlternateContent xmlns:mc="http://schemas.openxmlformats.org/markup-compatibility/2006">
      <mc:Choice xmlns:sle15="http://schemas.microsoft.com/office/drawing/2012/slicer" Requires="sle15">
        <xdr:graphicFrame macro="">
          <xdr:nvGraphicFramePr>
            <xdr:cNvPr id="16" name="Ad_display_time 1">
              <a:extLst>
                <a:ext uri="{FF2B5EF4-FFF2-40B4-BE49-F238E27FC236}">
                  <a16:creationId xmlns:a16="http://schemas.microsoft.com/office/drawing/2014/main" id="{5918AAF9-4FF2-45E1-9E72-E988E8E37A67}"/>
                </a:ext>
              </a:extLst>
            </xdr:cNvPr>
            <xdr:cNvGraphicFramePr/>
          </xdr:nvGraphicFramePr>
          <xdr:xfrm>
            <a:off x="0" y="0"/>
            <a:ext cx="0" cy="0"/>
          </xdr:xfrm>
          <a:graphic>
            <a:graphicData uri="http://schemas.microsoft.com/office/drawing/2010/slicer">
              <sle:slicer xmlns:sle="http://schemas.microsoft.com/office/drawing/2010/slicer" name="Ad_display_time 1"/>
            </a:graphicData>
          </a:graphic>
        </xdr:graphicFrame>
      </mc:Choice>
      <mc:Fallback>
        <xdr:sp macro="" textlink="">
          <xdr:nvSpPr>
            <xdr:cNvPr id="0" name=""/>
            <xdr:cNvSpPr>
              <a:spLocks noTextEdit="1"/>
            </xdr:cNvSpPr>
          </xdr:nvSpPr>
          <xdr:spPr>
            <a:xfrm>
              <a:off x="7665720" y="3550921"/>
              <a:ext cx="1828800" cy="148590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094.527868865742" createdVersion="7" refreshedVersion="7" minRefreshableVersion="3" recordCount="100" xr:uid="{49298B08-ABED-4656-ACB1-A50A7775C5D3}">
  <cacheSource type="worksheet">
    <worksheetSource name="Marketing_data"/>
  </cacheSource>
  <cacheFields count="30">
    <cacheField name="Ad_Impressions" numFmtId="0">
      <sharedItems containsSemiMixedTypes="0" containsString="0" containsNumber="1" containsInteger="1" minValue="1153" maxValue="157945"/>
    </cacheField>
    <cacheField name="CTR" numFmtId="0">
      <sharedItems containsSemiMixedTypes="0" containsString="0" containsNumber="1" minValue="2.72" maxValue="7.39"/>
    </cacheField>
    <cacheField name="Clicks" numFmtId="2">
      <sharedItems containsSemiMixedTypes="0" containsString="0" containsNumber="1" containsInteger="1" minValue="36" maxValue="10878"/>
    </cacheField>
    <cacheField name="Site_Conversion" numFmtId="0">
      <sharedItems containsSemiMixedTypes="0" containsString="0" containsNumber="1" minValue="12.9" maxValue="54.62"/>
    </cacheField>
    <cacheField name="Leads" numFmtId="0">
      <sharedItems containsSemiMixedTypes="0" containsString="0" containsNumber="1" containsInteger="1" minValue="7" maxValue="2984"/>
    </cacheField>
    <cacheField name="Sales_conversion" numFmtId="0">
      <sharedItems containsSemiMixedTypes="0" containsString="0" containsNumber="1" minValue="32.9" maxValue="79.099999999999994"/>
    </cacheField>
    <cacheField name="Number_of_clients" numFmtId="0">
      <sharedItems containsSemiMixedTypes="0" containsString="0" containsNumber="1" containsInteger="1" minValue="3" maxValue="1975"/>
    </cacheField>
    <cacheField name="Average_check" numFmtId="0">
      <sharedItems containsSemiMixedTypes="0" containsString="0" containsNumber="1" containsInteger="1" minValue="900" maxValue="6480"/>
    </cacheField>
    <cacheField name="Revenue" numFmtId="2">
      <sharedItems containsSemiMixedTypes="0" containsString="0" containsNumber="1" containsInteger="1" minValue="4080" maxValue="4212000"/>
    </cacheField>
    <cacheField name="Cost_price" numFmtId="0">
      <sharedItems containsSemiMixedTypes="0" containsString="0" containsNumber="1" containsInteger="1" minValue="4019" maxValue="3997188"/>
    </cacheField>
    <cacheField name="Advertising_budget" numFmtId="2">
      <sharedItems containsSemiMixedTypes="0" containsString="0" containsNumber="1" containsInteger="1" minValue="5995" maxValue="39980"/>
    </cacheField>
    <cacheField name="CPC" numFmtId="0">
      <sharedItems containsSemiMixedTypes="0" containsString="0" containsNumber="1" minValue="1.5" maxValue="619.79999999999995"/>
    </cacheField>
    <cacheField name="Cost_per_lead" numFmtId="0">
      <sharedItems containsSemiMixedTypes="0" containsString="0" containsNumber="1" minValue="3.1" maxValue="2489"/>
    </cacheField>
    <cacheField name="Customer_price" numFmtId="0">
      <sharedItems containsSemiMixedTypes="0" containsString="0" containsNumber="1" minValue="5.5" maxValue="5807.7"/>
    </cacheField>
    <cacheField name="Net_profit" numFmtId="0">
      <sharedItems containsSemiMixedTypes="0" containsString="0" containsNumber="1" containsInteger="1" minValue="-323139" maxValue="652623"/>
    </cacheField>
    <cacheField name="ROI" numFmtId="0">
      <sharedItems containsSemiMixedTypes="0" containsString="0" containsNumber="1" minValue="-1771.35" maxValue="4472.47"/>
    </cacheField>
    <cacheField name="Selling_text_scheme" numFmtId="0">
      <sharedItems/>
    </cacheField>
    <cacheField name="Ad_display_time" numFmtId="0">
      <sharedItems count="4">
        <s v="Medium"/>
        <s v="Long"/>
        <s v="Small"/>
        <s v="Large"/>
      </sharedItems>
    </cacheField>
    <cacheField name="Targeting_type" numFmtId="0">
      <sharedItems count="4">
        <s v="Contextual"/>
        <s v="Time-based"/>
        <s v="Geographic"/>
        <s v="Behavioral"/>
      </sharedItems>
    </cacheField>
    <cacheField name="Advertising_placement" numFmtId="0">
      <sharedItems count="3">
        <s v="News Feed"/>
        <s v="Messenger"/>
        <s v="Stories"/>
      </sharedItems>
    </cacheField>
    <cacheField name="User_device" numFmtId="0">
      <sharedItems count="4">
        <s v="Laptop"/>
        <s v="Smartphone"/>
        <s v="PC"/>
        <s v="Tablet"/>
      </sharedItems>
    </cacheField>
    <cacheField name="Advertising_design_method" numFmtId="0">
      <sharedItems count="3">
        <s v="Post"/>
        <s v="Images"/>
        <s v="Carousel"/>
      </sharedItems>
    </cacheField>
    <cacheField name="CTR (Click Through Rate)" numFmtId="10">
      <sharedItems containsSemiMixedTypes="0" containsString="0" containsNumber="1" minValue="2.0006964449650196E-5" maxValue="4.4306930693069312E-3"/>
    </cacheField>
    <cacheField name="CTR (Click Through Rate)2" numFmtId="0">
      <sharedItems containsSemiMixedTypes="0" containsString="0" containsNumber="1" minValue="0.12907662082514734" maxValue="0.54625000000000001"/>
    </cacheField>
    <cacheField name="Cost Per Click" numFmtId="0">
      <sharedItems containsSemiMixedTypes="0" containsString="0" containsNumber="1" minValue="1.5434949961508853" maxValue="619.7560975609756"/>
    </cacheField>
    <cacheField name="Cost Per Lead" numFmtId="0">
      <sharedItems containsSemiMixedTypes="0" containsString="0" containsNumber="1" minValue="162.94189353921172" maxValue="1795.9420289855072"/>
    </cacheField>
    <cacheField name="Profit" numFmtId="0">
      <sharedItems containsSemiMixedTypes="0" containsString="0" containsNumber="1" containsInteger="1" minValue="-300594" maxValue="667215"/>
    </cacheField>
    <cacheField name="ROI2" numFmtId="9">
      <sharedItems containsSemiMixedTypes="0" containsString="0" containsNumber="1" minValue="-0.76582678069218846" maxValue="236.98877805486285"/>
    </cacheField>
    <cacheField name="ROI3" numFmtId="0">
      <sharedItems/>
    </cacheField>
    <cacheField name="ROI4"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n v="38949"/>
    <n v="5.7"/>
    <n v="2220"/>
    <n v="53.65"/>
    <n v="1191"/>
    <n v="72.7"/>
    <n v="866"/>
    <n v="900"/>
    <n v="779400"/>
    <n v="524536"/>
    <n v="16055"/>
    <n v="7.2"/>
    <n v="13.5"/>
    <n v="18.5"/>
    <n v="238809"/>
    <n v="1487.44"/>
    <s v="PAS"/>
    <x v="0"/>
    <x v="0"/>
    <x v="0"/>
    <x v="0"/>
    <x v="0"/>
    <n v="1.4634522067318801E-4"/>
    <n v="0.53648648648648645"/>
    <n v="7.2319819819819822"/>
    <n v="299.25442684063376"/>
    <n v="254864"/>
    <n v="47.545624416069764"/>
    <s v="High ROI"/>
    <s v="#SPILL!"/>
  </r>
  <r>
    <n v="5014"/>
    <n v="4.53"/>
    <n v="227"/>
    <n v="39.770000000000003"/>
    <n v="90"/>
    <n v="61.9"/>
    <n v="56"/>
    <n v="1140"/>
    <n v="63840"/>
    <n v="60712"/>
    <n v="19572"/>
    <n v="86.2"/>
    <n v="217.5"/>
    <n v="349.5"/>
    <n v="-16444"/>
    <n v="-84.02"/>
    <s v="SCH"/>
    <x v="0"/>
    <x v="1"/>
    <x v="0"/>
    <x v="0"/>
    <x v="0"/>
    <n v="9.0347028320702041E-4"/>
    <n v="0.3964757709251101"/>
    <n v="86.220264317180622"/>
    <n v="492.12974603972839"/>
    <n v="3128"/>
    <n v="2.2618025751072963"/>
    <s v="Low ROI"/>
    <s v="#SPILL!"/>
  </r>
  <r>
    <n v="31257"/>
    <n v="4.3899999999999997"/>
    <n v="1372"/>
    <n v="16.37"/>
    <n v="225"/>
    <n v="62.6"/>
    <n v="141"/>
    <n v="1230"/>
    <n v="173430"/>
    <n v="146375"/>
    <n v="9792"/>
    <n v="7.1"/>
    <n v="43.5"/>
    <n v="69.400000000000006"/>
    <n v="17263"/>
    <n v="176.3"/>
    <s v="AIDA"/>
    <x v="1"/>
    <x v="1"/>
    <x v="1"/>
    <x v="1"/>
    <x v="1"/>
    <n v="1.4044853952714591E-4"/>
    <n v="0.16399416909620992"/>
    <n v="7.1370262390670556"/>
    <n v="598.16737935247397"/>
    <n v="27055"/>
    <n v="16.711397058823529"/>
    <s v="High ROI"/>
    <s v="#SPILL!"/>
  </r>
  <r>
    <n v="1212"/>
    <n v="5.37"/>
    <n v="65"/>
    <n v="53.74"/>
    <n v="35"/>
    <n v="61.7"/>
    <n v="22"/>
    <n v="1460"/>
    <n v="32120"/>
    <n v="25150"/>
    <n v="13610"/>
    <n v="209.4"/>
    <n v="388.9"/>
    <n v="618.6"/>
    <n v="-6640"/>
    <n v="-48.79"/>
    <s v="PHMS"/>
    <x v="2"/>
    <x v="2"/>
    <x v="2"/>
    <x v="0"/>
    <x v="2"/>
    <n v="4.4306930693069312E-3"/>
    <n v="0.53846153846153844"/>
    <n v="209.38461538461539"/>
    <n v="253.25641979903236"/>
    <n v="6970"/>
    <n v="1.3600293901542984"/>
    <s v="Low ROI"/>
    <s v="#SPILL!"/>
  </r>
  <r>
    <n v="1249"/>
    <n v="3.29"/>
    <n v="41"/>
    <n v="22.5"/>
    <n v="9"/>
    <n v="79.099999999999994"/>
    <n v="7"/>
    <n v="1230"/>
    <n v="8610"/>
    <n v="5760"/>
    <n v="7252"/>
    <n v="176.9"/>
    <n v="805.8"/>
    <n v="1036"/>
    <n v="-4402"/>
    <n v="-60.7"/>
    <s v="SCH"/>
    <x v="2"/>
    <x v="1"/>
    <x v="0"/>
    <x v="2"/>
    <x v="0"/>
    <n v="2.6341072858286629E-3"/>
    <n v="0.21951219512195122"/>
    <n v="176.8780487804878"/>
    <n v="322.31111111111113"/>
    <n v="2850"/>
    <n v="0.18725868725868725"/>
    <s v="Low ROI"/>
    <s v="#SPILL!"/>
  </r>
  <r>
    <n v="104820"/>
    <n v="3.94"/>
    <n v="4130"/>
    <n v="37.119999999999997"/>
    <n v="1533"/>
    <n v="65.8"/>
    <n v="1009"/>
    <n v="960"/>
    <n v="968640"/>
    <n v="815595"/>
    <n v="17697"/>
    <n v="4.3"/>
    <n v="11.5"/>
    <n v="17.5"/>
    <n v="135348"/>
    <n v="764.81"/>
    <s v="AIDA"/>
    <x v="2"/>
    <x v="0"/>
    <x v="0"/>
    <x v="3"/>
    <x v="0"/>
    <n v="3.7588246517840104E-5"/>
    <n v="0.37118644067796608"/>
    <n v="4.2849878934624694"/>
    <n v="476.75107758620692"/>
    <n v="153045"/>
    <n v="53.734700796745209"/>
    <s v="High ROI"/>
    <s v="#SPILL!"/>
  </r>
  <r>
    <n v="3072"/>
    <n v="3.6"/>
    <n v="111"/>
    <n v="37.869999999999997"/>
    <n v="42"/>
    <n v="70.900000000000006"/>
    <n v="30"/>
    <n v="1270"/>
    <n v="38100"/>
    <n v="32042"/>
    <n v="9730"/>
    <n v="87.7"/>
    <n v="231.7"/>
    <n v="324.3"/>
    <n v="-3672"/>
    <n v="-37.74"/>
    <s v="AIDA"/>
    <x v="0"/>
    <x v="2"/>
    <x v="0"/>
    <x v="2"/>
    <x v="1"/>
    <n v="1.171875E-3"/>
    <n v="0.3783783783783784"/>
    <n v="87.657657657657651"/>
    <n v="256.93160813308691"/>
    <n v="6058"/>
    <n v="2.9157245632065778"/>
    <s v="Low ROI"/>
    <s v="#SPILL!"/>
  </r>
  <r>
    <n v="43045"/>
    <n v="6.55"/>
    <n v="2819"/>
    <n v="15.9"/>
    <n v="448"/>
    <n v="54.5"/>
    <n v="244"/>
    <n v="950"/>
    <n v="231800"/>
    <n v="226005"/>
    <n v="24880"/>
    <n v="8.8000000000000007"/>
    <n v="55.5"/>
    <n v="102"/>
    <n v="-19085"/>
    <n v="-76.709999999999994"/>
    <s v="PHMS"/>
    <x v="3"/>
    <x v="3"/>
    <x v="0"/>
    <x v="1"/>
    <x v="1"/>
    <n v="1.5216633755372284E-4"/>
    <n v="0.15892160340546294"/>
    <n v="8.8258247605533882"/>
    <n v="1564.7798742138364"/>
    <n v="5795"/>
    <n v="8.3167202572347261"/>
    <s v="Low ROI"/>
    <s v="#SPILL!"/>
  </r>
  <r>
    <n v="3011"/>
    <n v="3.78"/>
    <n v="114"/>
    <n v="31.42"/>
    <n v="36"/>
    <n v="60.8"/>
    <n v="22"/>
    <n v="970"/>
    <n v="21340"/>
    <n v="20102"/>
    <n v="30620"/>
    <n v="268.60000000000002"/>
    <n v="850.6"/>
    <n v="1391.8"/>
    <n v="-29382"/>
    <n v="-95.96"/>
    <s v="PHMS"/>
    <x v="1"/>
    <x v="1"/>
    <x v="0"/>
    <x v="1"/>
    <x v="0"/>
    <n v="1.2553968781135836E-3"/>
    <n v="0.31578947368421051"/>
    <n v="268.59649122807019"/>
    <n v="974.53851050286437"/>
    <n v="1238"/>
    <n v="-0.30306988896146309"/>
    <s v="Low ROI"/>
    <s v="#SPILL!"/>
  </r>
  <r>
    <n v="1978"/>
    <n v="5"/>
    <n v="99"/>
    <n v="38.090000000000003"/>
    <n v="38"/>
    <n v="52.5"/>
    <n v="20"/>
    <n v="2700"/>
    <n v="54000"/>
    <n v="47250"/>
    <n v="34776"/>
    <n v="351.3"/>
    <n v="915.2"/>
    <n v="1738.8"/>
    <n v="-28026"/>
    <n v="-80.59"/>
    <s v="SCH"/>
    <x v="2"/>
    <x v="2"/>
    <x v="2"/>
    <x v="2"/>
    <x v="0"/>
    <n v="2.5278058645096056E-3"/>
    <n v="0.38383838383838381"/>
    <n v="351.27272727272725"/>
    <n v="912.99553688632182"/>
    <n v="6750"/>
    <n v="0.55279503105590067"/>
    <s v="Low ROI"/>
    <s v="#SPILL!"/>
  </r>
  <r>
    <n v="92042"/>
    <n v="5.53"/>
    <n v="5090"/>
    <n v="12.9"/>
    <n v="657"/>
    <n v="63.2"/>
    <n v="415"/>
    <n v="960"/>
    <n v="398400"/>
    <n v="377683"/>
    <n v="15870"/>
    <n v="3.1"/>
    <n v="24.2"/>
    <n v="38.200000000000003"/>
    <n v="4847"/>
    <n v="30.54"/>
    <s v="SCH"/>
    <x v="2"/>
    <x v="0"/>
    <x v="1"/>
    <x v="1"/>
    <x v="0"/>
    <n v="6.0081267247560896E-5"/>
    <n v="0.12907662082514734"/>
    <n v="3.117878192534381"/>
    <n v="1230.2325581395348"/>
    <n v="20717"/>
    <n v="24.10396975425331"/>
    <s v="High ROI"/>
    <s v="#SPILL!"/>
  </r>
  <r>
    <n v="15214"/>
    <n v="6.55"/>
    <n v="997"/>
    <n v="40.159999999999997"/>
    <n v="400"/>
    <n v="61.4"/>
    <n v="246"/>
    <n v="4250"/>
    <n v="1045500"/>
    <n v="894948"/>
    <n v="24106"/>
    <n v="24.2"/>
    <n v="60.3"/>
    <n v="98"/>
    <n v="126446"/>
    <n v="524.54"/>
    <s v="PHMS"/>
    <x v="3"/>
    <x v="0"/>
    <x v="0"/>
    <x v="0"/>
    <x v="0"/>
    <n v="4.3052451689233601E-4"/>
    <n v="0.4012036108324975"/>
    <n v="24.178535606820461"/>
    <n v="600.24900398406385"/>
    <n v="150552"/>
    <n v="42.370944992947813"/>
    <s v="High ROI"/>
    <s v="#SPILL!"/>
  </r>
  <r>
    <n v="77653"/>
    <n v="6.3"/>
    <n v="4892"/>
    <n v="42.6"/>
    <n v="2084"/>
    <n v="32.9"/>
    <n v="686"/>
    <n v="1100"/>
    <n v="754600"/>
    <n v="891183"/>
    <n v="8172"/>
    <n v="1.7"/>
    <n v="3.9"/>
    <n v="11.9"/>
    <n v="-144755"/>
    <n v="-1771.35"/>
    <s v="PHMS"/>
    <x v="0"/>
    <x v="0"/>
    <x v="1"/>
    <x v="1"/>
    <x v="0"/>
    <n v="8.1130155950188653E-5"/>
    <n v="0.4260016353229763"/>
    <n v="1.6704824202780049"/>
    <n v="191.83098591549296"/>
    <n v="-136583"/>
    <n v="91.339696524718548"/>
    <s v="Low ROI"/>
    <s v="#SPILL!"/>
  </r>
  <r>
    <n v="66836"/>
    <n v="4.8099999999999996"/>
    <n v="3215"/>
    <n v="39.15"/>
    <n v="1259"/>
    <n v="62.6"/>
    <n v="788"/>
    <n v="4320"/>
    <n v="3404160"/>
    <n v="2736945"/>
    <n v="14592"/>
    <n v="4.5"/>
    <n v="11.6"/>
    <n v="18.5"/>
    <n v="652623"/>
    <n v="4472.47"/>
    <s v="SCH"/>
    <x v="1"/>
    <x v="3"/>
    <x v="0"/>
    <x v="1"/>
    <x v="1"/>
    <n v="7.1967203303608822E-5"/>
    <n v="0.39160186625194399"/>
    <n v="4.5387247278382583"/>
    <n v="372.72030651340998"/>
    <n v="667215"/>
    <n v="232.28947368421052"/>
    <s v="High ROI"/>
    <s v="#SPILL!"/>
  </r>
  <r>
    <n v="3752"/>
    <n v="6.55"/>
    <n v="246"/>
    <n v="38.61"/>
    <n v="95"/>
    <n v="68.400000000000006"/>
    <n v="65"/>
    <n v="1120"/>
    <n v="72800"/>
    <n v="53581"/>
    <n v="37180"/>
    <n v="151.1"/>
    <n v="391.4"/>
    <n v="572"/>
    <n v="-17961"/>
    <n v="-48.31"/>
    <s v="PAS"/>
    <x v="1"/>
    <x v="0"/>
    <x v="0"/>
    <x v="1"/>
    <x v="1"/>
    <n v="1.7457356076759061E-3"/>
    <n v="0.38617886178861788"/>
    <n v="151.13821138211381"/>
    <n v="962.96296296296293"/>
    <n v="19219"/>
    <n v="0.95804195804195802"/>
    <s v="Low ROI"/>
    <s v="#SPILL!"/>
  </r>
  <r>
    <n v="26108"/>
    <n v="3.6"/>
    <n v="940"/>
    <n v="24.12"/>
    <n v="227"/>
    <n v="76.3"/>
    <n v="173"/>
    <n v="1300"/>
    <n v="224900"/>
    <n v="168000"/>
    <n v="15665"/>
    <n v="16.7"/>
    <n v="69"/>
    <n v="90.5"/>
    <n v="41235"/>
    <n v="263.23"/>
    <s v="SCH"/>
    <x v="3"/>
    <x v="2"/>
    <x v="0"/>
    <x v="0"/>
    <x v="2"/>
    <n v="1.3788876972575456E-4"/>
    <n v="0.24148936170212765"/>
    <n v="16.664893617021278"/>
    <n v="649.46102819237149"/>
    <n v="56900"/>
    <n v="13.356846473029046"/>
    <s v="High ROI"/>
    <s v="#SPILL!"/>
  </r>
  <r>
    <n v="11731"/>
    <n v="5.81"/>
    <n v="682"/>
    <n v="26.25"/>
    <n v="179"/>
    <n v="73.8"/>
    <n v="132"/>
    <n v="1310"/>
    <n v="172920"/>
    <n v="145599"/>
    <n v="24656"/>
    <n v="36.200000000000003"/>
    <n v="137.69999999999999"/>
    <n v="186.8"/>
    <n v="2665"/>
    <n v="10.81"/>
    <s v="PHMS"/>
    <x v="3"/>
    <x v="3"/>
    <x v="0"/>
    <x v="2"/>
    <x v="0"/>
    <n v="4.952689455289404E-4"/>
    <n v="0.26246334310850439"/>
    <n v="36.152492668621704"/>
    <n v="939.27619047619044"/>
    <n v="27321"/>
    <n v="6.0133030499675533"/>
    <s v="High ROI"/>
    <s v="#SPILL!"/>
  </r>
  <r>
    <n v="81634"/>
    <n v="5.31"/>
    <n v="4335"/>
    <n v="31.32"/>
    <n v="1358"/>
    <n v="69.400000000000006"/>
    <n v="942"/>
    <n v="1030"/>
    <n v="970260"/>
    <n v="791732"/>
    <n v="23076"/>
    <n v="5.3"/>
    <n v="17"/>
    <n v="24.5"/>
    <n v="155452"/>
    <n v="673.65"/>
    <s v="AIDA"/>
    <x v="2"/>
    <x v="3"/>
    <x v="0"/>
    <x v="1"/>
    <x v="1"/>
    <n v="6.5046426733958879E-5"/>
    <n v="0.31326412918108421"/>
    <n v="5.3231833910034601"/>
    <n v="736.78160919540232"/>
    <n v="178528"/>
    <n v="41.046281851274053"/>
    <s v="High ROI"/>
    <s v="#SPILL!"/>
  </r>
  <r>
    <n v="24588"/>
    <n v="3.25"/>
    <n v="799"/>
    <n v="38.36"/>
    <n v="306"/>
    <n v="78.900000000000006"/>
    <n v="241"/>
    <n v="1050"/>
    <n v="253050"/>
    <n v="174858"/>
    <n v="20033"/>
    <n v="25.1"/>
    <n v="65.5"/>
    <n v="83.1"/>
    <n v="58159"/>
    <n v="290.32"/>
    <s v="SCH"/>
    <x v="1"/>
    <x v="3"/>
    <x v="2"/>
    <x v="1"/>
    <x v="2"/>
    <n v="1.3217829835692209E-4"/>
    <n v="0.38297872340425532"/>
    <n v="25.072590738423028"/>
    <n v="522.23670490093843"/>
    <n v="78192"/>
    <n v="11.631657764688264"/>
    <s v="High ROI"/>
    <s v="#SPILL!"/>
  </r>
  <r>
    <n v="87553"/>
    <n v="3.67"/>
    <n v="3213"/>
    <n v="39.700000000000003"/>
    <n v="1276"/>
    <n v="69.5"/>
    <n v="887"/>
    <n v="1460"/>
    <n v="1295020"/>
    <n v="925939"/>
    <n v="32470"/>
    <n v="10.1"/>
    <n v="25.4"/>
    <n v="36.6"/>
    <n v="336611"/>
    <n v="1036.68"/>
    <s v="AIDA"/>
    <x v="3"/>
    <x v="1"/>
    <x v="2"/>
    <x v="3"/>
    <x v="0"/>
    <n v="4.1917467134193E-5"/>
    <n v="0.39713663243075009"/>
    <n v="10.105820105820106"/>
    <n v="817.88413098236765"/>
    <n v="369081"/>
    <n v="38.883584847551589"/>
    <s v="High ROI"/>
    <s v="#SPILL!"/>
  </r>
  <r>
    <n v="13227"/>
    <n v="5.47"/>
    <n v="724"/>
    <n v="21.93"/>
    <n v="159"/>
    <n v="62.1"/>
    <n v="99"/>
    <n v="1090"/>
    <n v="107910"/>
    <n v="86220"/>
    <n v="21072"/>
    <n v="29.1"/>
    <n v="132.5"/>
    <n v="212.8"/>
    <n v="618"/>
    <n v="2.93"/>
    <s v="PAS"/>
    <x v="3"/>
    <x v="0"/>
    <x v="0"/>
    <x v="2"/>
    <x v="1"/>
    <n v="4.1354804566417174E-4"/>
    <n v="0.21961325966850828"/>
    <n v="29.104972375690608"/>
    <n v="960.87551299589609"/>
    <n v="21690"/>
    <n v="4.1210136674259683"/>
    <s v="High ROI"/>
    <s v="#SPILL!"/>
  </r>
  <r>
    <n v="8267"/>
    <n v="7.24"/>
    <n v="599"/>
    <n v="32.21"/>
    <n v="193"/>
    <n v="50.6"/>
    <n v="98"/>
    <n v="1000"/>
    <n v="98000"/>
    <n v="105252"/>
    <n v="31858"/>
    <n v="53.2"/>
    <n v="165.1"/>
    <n v="325.10000000000002"/>
    <n v="-39110"/>
    <n v="-122.76"/>
    <s v="AIDA"/>
    <x v="2"/>
    <x v="3"/>
    <x v="0"/>
    <x v="0"/>
    <x v="0"/>
    <n v="8.7577113826055406E-4"/>
    <n v="0.32220367278797996"/>
    <n v="53.185308848080133"/>
    <n v="989.07171685811852"/>
    <n v="-7252"/>
    <n v="2.0761504174775567"/>
    <s v="Low ROI"/>
    <s v="#SPILL!"/>
  </r>
  <r>
    <n v="2143"/>
    <n v="4.57"/>
    <n v="98"/>
    <n v="39.65"/>
    <n v="39"/>
    <n v="51.4"/>
    <n v="20"/>
    <n v="950"/>
    <n v="19000"/>
    <n v="18734"/>
    <n v="15540"/>
    <n v="158.6"/>
    <n v="398.5"/>
    <n v="777"/>
    <n v="-15274"/>
    <n v="-98.29"/>
    <s v="PHMS"/>
    <x v="1"/>
    <x v="1"/>
    <x v="0"/>
    <x v="2"/>
    <x v="0"/>
    <n v="2.1325244983667756E-3"/>
    <n v="0.39795918367346939"/>
    <n v="158.57142857142858"/>
    <n v="391.92938209331652"/>
    <n v="266"/>
    <n v="0.22265122265122264"/>
    <s v="Low ROI"/>
    <s v="#SPILL!"/>
  </r>
  <r>
    <n v="157945"/>
    <n v="3.16"/>
    <n v="4991"/>
    <n v="27.69"/>
    <n v="1382"/>
    <n v="35.299999999999997"/>
    <n v="488"/>
    <n v="1110"/>
    <n v="541680"/>
    <n v="610473"/>
    <n v="25552"/>
    <n v="5.0999999999999996"/>
    <n v="18.5"/>
    <n v="52.4"/>
    <n v="-94345"/>
    <n v="-369.23"/>
    <s v="PHMS"/>
    <x v="2"/>
    <x v="3"/>
    <x v="0"/>
    <x v="1"/>
    <x v="0"/>
    <n v="2.0006964449650196E-5"/>
    <n v="0.27689841715087155"/>
    <n v="5.1196153075535964"/>
    <n v="922.78801011195378"/>
    <n v="-68793"/>
    <n v="20.19912335629305"/>
    <s v="Low ROI"/>
    <s v="#SPILL!"/>
  </r>
  <r>
    <n v="92967"/>
    <n v="3.42"/>
    <n v="3179"/>
    <n v="17.25"/>
    <n v="548"/>
    <n v="53.8"/>
    <n v="295"/>
    <n v="1410"/>
    <n v="415950"/>
    <n v="391825"/>
    <n v="30980"/>
    <n v="9.6999999999999993"/>
    <n v="56.5"/>
    <n v="105"/>
    <n v="-6855"/>
    <n v="-22.13"/>
    <s v="PAS"/>
    <x v="3"/>
    <x v="1"/>
    <x v="0"/>
    <x v="0"/>
    <x v="0"/>
    <n v="3.6787247087676273E-5"/>
    <n v="0.17238125196602705"/>
    <n v="9.7452028939918218"/>
    <n v="1795.9420289855072"/>
    <n v="24125"/>
    <n v="12.42640413169787"/>
    <s v="Low ROI"/>
    <s v="#SPILL!"/>
  </r>
  <r>
    <n v="3790"/>
    <n v="4.76"/>
    <n v="180"/>
    <n v="28.3"/>
    <n v="51"/>
    <n v="63.9"/>
    <n v="33"/>
    <n v="1460"/>
    <n v="48180"/>
    <n v="43892"/>
    <n v="12420"/>
    <n v="69"/>
    <n v="243.5"/>
    <n v="376.4"/>
    <n v="-8132"/>
    <n v="-65.48"/>
    <s v="SCH"/>
    <x v="1"/>
    <x v="1"/>
    <x v="0"/>
    <x v="0"/>
    <x v="0"/>
    <n v="1.2559366754617415E-3"/>
    <n v="0.28333333333333333"/>
    <n v="69"/>
    <n v="438.86925795053003"/>
    <n v="4288"/>
    <n v="2.8792270531400965"/>
    <s v="Low ROI"/>
    <s v="#SPILL!"/>
  </r>
  <r>
    <n v="130614"/>
    <n v="4.8099999999999996"/>
    <n v="6283"/>
    <n v="23.02"/>
    <n v="1446"/>
    <n v="69"/>
    <n v="998"/>
    <n v="1500"/>
    <n v="1497000"/>
    <n v="1092810"/>
    <n v="18924"/>
    <n v="3"/>
    <n v="13.1"/>
    <n v="19"/>
    <n v="385266"/>
    <n v="2035.86"/>
    <s v="PHMS"/>
    <x v="2"/>
    <x v="3"/>
    <x v="0"/>
    <x v="0"/>
    <x v="1"/>
    <n v="3.6826067649715951E-5"/>
    <n v="0.23014483526977558"/>
    <n v="3.011936972783702"/>
    <n v="822.06776715899218"/>
    <n v="404190"/>
    <n v="78.105897273303739"/>
    <s v="High ROI"/>
    <s v="#SPILL!"/>
  </r>
  <r>
    <n v="3866"/>
    <n v="5.99"/>
    <n v="232"/>
    <n v="34.950000000000003"/>
    <n v="81"/>
    <n v="69.099999999999994"/>
    <n v="56"/>
    <n v="1080"/>
    <n v="60480"/>
    <n v="44695"/>
    <n v="10251"/>
    <n v="44.2"/>
    <n v="126.6"/>
    <n v="183.1"/>
    <n v="5534"/>
    <n v="53.98"/>
    <s v="PAS"/>
    <x v="0"/>
    <x v="1"/>
    <x v="0"/>
    <x v="0"/>
    <x v="0"/>
    <n v="1.5494050698396276E-3"/>
    <n v="0.34913793103448276"/>
    <n v="44.185344827586206"/>
    <n v="293.30472103004291"/>
    <n v="15785"/>
    <n v="4.8999122036874452"/>
    <s v="High ROI"/>
    <s v="#SPILL!"/>
  </r>
  <r>
    <n v="31257"/>
    <n v="3.39"/>
    <n v="1060"/>
    <n v="34.909999999999997"/>
    <n v="370"/>
    <n v="57.3"/>
    <n v="212"/>
    <n v="4070"/>
    <n v="862840"/>
    <n v="773967"/>
    <n v="8177"/>
    <n v="7.7"/>
    <n v="22.1"/>
    <n v="38.6"/>
    <n v="80696"/>
    <n v="986.87"/>
    <s v="AIDA"/>
    <x v="3"/>
    <x v="2"/>
    <x v="2"/>
    <x v="1"/>
    <x v="0"/>
    <n v="1.084557059218735E-4"/>
    <n v="0.34905660377358488"/>
    <n v="7.7141509433962261"/>
    <n v="234.23087940418222"/>
    <n v="88873"/>
    <n v="104.52036199095022"/>
    <s v="High ROI"/>
    <s v="#SPILL!"/>
  </r>
  <r>
    <n v="10509"/>
    <n v="5.31"/>
    <n v="558"/>
    <n v="43.15"/>
    <n v="241"/>
    <n v="71.3"/>
    <n v="172"/>
    <n v="1430"/>
    <n v="245960"/>
    <n v="215707"/>
    <n v="26670"/>
    <n v="47.8"/>
    <n v="110.7"/>
    <n v="155.1"/>
    <n v="3583"/>
    <n v="13.43"/>
    <s v="AIDA"/>
    <x v="0"/>
    <x v="1"/>
    <x v="0"/>
    <x v="1"/>
    <x v="1"/>
    <n v="5.0528118755352556E-4"/>
    <n v="0.43189964157706096"/>
    <n v="47.795698924731184"/>
    <n v="618.07647740440325"/>
    <n v="30253"/>
    <n v="8.2223472065991743"/>
    <s v="High ROI"/>
    <s v="#SPILL!"/>
  </r>
  <r>
    <n v="22471"/>
    <n v="3.9"/>
    <n v="876"/>
    <n v="35.85"/>
    <n v="314"/>
    <n v="60.6"/>
    <n v="190"/>
    <n v="990"/>
    <n v="188100"/>
    <n v="149351"/>
    <n v="10373"/>
    <n v="11.8"/>
    <n v="33"/>
    <n v="54.6"/>
    <n v="28376"/>
    <n v="273.56"/>
    <s v="SCH"/>
    <x v="2"/>
    <x v="3"/>
    <x v="0"/>
    <x v="2"/>
    <x v="0"/>
    <n v="1.7355702905967691E-4"/>
    <n v="0.35844748858447489"/>
    <n v="11.841324200913242"/>
    <n v="289.34449093444908"/>
    <n v="38749"/>
    <n v="17.133616118769883"/>
    <s v="High ROI"/>
    <s v="#SPILL!"/>
  </r>
  <r>
    <n v="102744"/>
    <n v="7.39"/>
    <n v="7593"/>
    <n v="25.99"/>
    <n v="1973"/>
    <n v="66.7"/>
    <n v="1316"/>
    <n v="1370"/>
    <n v="1802920"/>
    <n v="1483803"/>
    <n v="16310"/>
    <n v="2.1"/>
    <n v="8.3000000000000007"/>
    <n v="12.4"/>
    <n v="302807"/>
    <n v="1856.57"/>
    <s v="SCH"/>
    <x v="2"/>
    <x v="0"/>
    <x v="1"/>
    <x v="2"/>
    <x v="2"/>
    <n v="7.1926341197539517E-5"/>
    <n v="0.25984459370472807"/>
    <n v="2.1480310812590542"/>
    <n v="627.54905732974225"/>
    <n v="319117"/>
    <n v="109.54077253218884"/>
    <s v="High ROI"/>
    <s v="#SPILL!"/>
  </r>
  <r>
    <n v="124244"/>
    <n v="4.76"/>
    <n v="5914"/>
    <n v="18.82"/>
    <n v="1113"/>
    <n v="59.1"/>
    <n v="658"/>
    <n v="1410"/>
    <n v="927780"/>
    <n v="769130"/>
    <n v="17276"/>
    <n v="2.9"/>
    <n v="15.5"/>
    <n v="26.3"/>
    <n v="141374"/>
    <n v="818.33"/>
    <s v="AIDA"/>
    <x v="3"/>
    <x v="2"/>
    <x v="0"/>
    <x v="1"/>
    <x v="2"/>
    <n v="3.8311709217346512E-5"/>
    <n v="0.18819749746364559"/>
    <n v="2.9212039228948257"/>
    <n v="917.95961742826773"/>
    <n v="158650"/>
    <n v="52.703403565640194"/>
    <s v="High ROI"/>
    <s v="#SPILL!"/>
  </r>
  <r>
    <n v="1920"/>
    <n v="6.3"/>
    <n v="121"/>
    <n v="45.48"/>
    <n v="55"/>
    <n v="66.599999999999994"/>
    <n v="37"/>
    <n v="950"/>
    <n v="35150"/>
    <n v="26152"/>
    <n v="39980"/>
    <n v="330.4"/>
    <n v="726.9"/>
    <n v="1080.5"/>
    <n v="-30982"/>
    <n v="-77.489999999999995"/>
    <s v="PAS"/>
    <x v="1"/>
    <x v="0"/>
    <x v="2"/>
    <x v="3"/>
    <x v="0"/>
    <n v="3.2812499999999999E-3"/>
    <n v="0.45454545454545453"/>
    <n v="330.41322314049586"/>
    <n v="879.06772207563768"/>
    <n v="8998"/>
    <n v="-0.12081040520260131"/>
    <s v="Low ROI"/>
    <s v="#SPILL!"/>
  </r>
  <r>
    <n v="41773"/>
    <n v="2.8"/>
    <n v="1170"/>
    <n v="29.24"/>
    <n v="342"/>
    <n v="46.9"/>
    <n v="160"/>
    <n v="1230"/>
    <n v="196800"/>
    <n v="195029"/>
    <n v="17970"/>
    <n v="15.4"/>
    <n v="52.5"/>
    <n v="112.3"/>
    <n v="-16199"/>
    <n v="-90.14"/>
    <s v="PHMS"/>
    <x v="3"/>
    <x v="3"/>
    <x v="0"/>
    <x v="1"/>
    <x v="0"/>
    <n v="6.7028942139659578E-5"/>
    <n v="0.29230769230769232"/>
    <n v="15.358974358974359"/>
    <n v="614.56908344733245"/>
    <n v="1771"/>
    <n v="9.9515859766277135"/>
    <s v="Low ROI"/>
    <s v="#SPILL!"/>
  </r>
  <r>
    <n v="6124"/>
    <n v="4.4400000000000004"/>
    <n v="272"/>
    <n v="27.31"/>
    <n v="74"/>
    <n v="70.3"/>
    <n v="52"/>
    <n v="1450"/>
    <n v="75400"/>
    <n v="67634"/>
    <n v="15260"/>
    <n v="56.1"/>
    <n v="206.2"/>
    <n v="293.5"/>
    <n v="-7494"/>
    <n v="-49.11"/>
    <s v="SCH"/>
    <x v="2"/>
    <x v="2"/>
    <x v="2"/>
    <x v="1"/>
    <x v="0"/>
    <n v="7.2501632919660356E-4"/>
    <n v="0.27205882352941174"/>
    <n v="56.102941176470587"/>
    <n v="558.76968143537169"/>
    <n v="7766"/>
    <n v="3.9410222804718216"/>
    <s v="Low ROI"/>
    <s v="#SPILL!"/>
  </r>
  <r>
    <n v="5219"/>
    <n v="2.72"/>
    <n v="142"/>
    <n v="31.25"/>
    <n v="44"/>
    <n v="59"/>
    <n v="26"/>
    <n v="1200"/>
    <n v="31200"/>
    <n v="26208"/>
    <n v="12618"/>
    <n v="88.9"/>
    <n v="286.8"/>
    <n v="485.3"/>
    <n v="-7626"/>
    <n v="-60.44"/>
    <s v="AIDA"/>
    <x v="0"/>
    <x v="2"/>
    <x v="0"/>
    <x v="2"/>
    <x v="0"/>
    <n v="5.2117263843648215E-4"/>
    <n v="0.30985915492957744"/>
    <n v="88.859154929577471"/>
    <n v="403.77600000000001"/>
    <n v="4992"/>
    <n v="1.4726581074655254"/>
    <s v="Low ROI"/>
    <s v="#SPILL!"/>
  </r>
  <r>
    <n v="1998"/>
    <n v="2.89"/>
    <n v="58"/>
    <n v="52.55"/>
    <n v="30"/>
    <n v="66.599999999999994"/>
    <n v="20"/>
    <n v="1080"/>
    <n v="21600"/>
    <n v="19958"/>
    <n v="16305"/>
    <n v="281.10000000000002"/>
    <n v="543.5"/>
    <n v="815.3"/>
    <n v="-14663"/>
    <n v="-89.93"/>
    <s v="PAS"/>
    <x v="1"/>
    <x v="3"/>
    <x v="0"/>
    <x v="0"/>
    <x v="0"/>
    <n v="1.4464464464464465E-3"/>
    <n v="0.51724137931034486"/>
    <n v="281.12068965517244"/>
    <n v="310.27592768791629"/>
    <n v="1642"/>
    <n v="0.32474701011959523"/>
    <s v="Low ROI"/>
    <s v="#SPILL!"/>
  </r>
  <r>
    <n v="147267"/>
    <n v="5.93"/>
    <n v="8733"/>
    <n v="28.61"/>
    <n v="2499"/>
    <n v="58.4"/>
    <n v="1459"/>
    <n v="1460"/>
    <n v="2130140"/>
    <n v="1972510"/>
    <n v="21568"/>
    <n v="2.5"/>
    <n v="8.6"/>
    <n v="14.8"/>
    <n v="136062"/>
    <n v="630.85"/>
    <s v="SCH"/>
    <x v="1"/>
    <x v="1"/>
    <x v="0"/>
    <x v="3"/>
    <x v="0"/>
    <n v="4.0266998037578E-5"/>
    <n v="0.2861559601511508"/>
    <n v="2.469712584449788"/>
    <n v="753.86228591401607"/>
    <n v="157630"/>
    <n v="97.763909495548958"/>
    <s v="High ROI"/>
    <s v="#SPILL!"/>
  </r>
  <r>
    <n v="1339"/>
    <n v="3.39"/>
    <n v="45"/>
    <n v="15.01"/>
    <n v="7"/>
    <n v="46.5"/>
    <n v="3"/>
    <n v="1360"/>
    <n v="4080"/>
    <n v="4019"/>
    <n v="17423"/>
    <n v="387.2"/>
    <n v="2489"/>
    <n v="5807.7"/>
    <n v="-17362"/>
    <n v="-99.65"/>
    <s v="SCH"/>
    <x v="2"/>
    <x v="3"/>
    <x v="1"/>
    <x v="2"/>
    <x v="0"/>
    <n v="2.5317401045556387E-3"/>
    <n v="0.15555555555555556"/>
    <n v="387.17777777777781"/>
    <n v="1160.7594936708861"/>
    <n v="61"/>
    <n v="-0.76582678069218846"/>
    <s v="Low ROI"/>
    <s v="#SPILL!"/>
  </r>
  <r>
    <n v="31571"/>
    <n v="4.95"/>
    <n v="1563"/>
    <n v="42.73"/>
    <n v="668"/>
    <n v="64.3"/>
    <n v="430"/>
    <n v="1420"/>
    <n v="610600"/>
    <n v="572132"/>
    <n v="22572"/>
    <n v="14.4"/>
    <n v="33.799999999999997"/>
    <n v="52.5"/>
    <n v="15896"/>
    <n v="70.42"/>
    <s v="PAS"/>
    <x v="1"/>
    <x v="2"/>
    <x v="1"/>
    <x v="2"/>
    <x v="0"/>
    <n v="1.5678945868043457E-4"/>
    <n v="0.42738323736404349"/>
    <n v="14.441458733205375"/>
    <n v="528.24713316171312"/>
    <n v="38468"/>
    <n v="26.051213893319158"/>
    <s v="High ROI"/>
    <s v="#SPILL!"/>
  </r>
  <r>
    <n v="23861"/>
    <n v="7.17"/>
    <n v="1711"/>
    <n v="51.53"/>
    <n v="882"/>
    <n v="71.8"/>
    <n v="633"/>
    <n v="1090"/>
    <n v="689970"/>
    <n v="580955"/>
    <n v="37943"/>
    <n v="22.2"/>
    <n v="43"/>
    <n v="59.9"/>
    <n v="71072"/>
    <n v="187.31"/>
    <s v="AIDA"/>
    <x v="3"/>
    <x v="3"/>
    <x v="0"/>
    <x v="1"/>
    <x v="1"/>
    <n v="3.0049033988516829E-4"/>
    <n v="0.51548801870251315"/>
    <n v="22.175920514319113"/>
    <n v="736.32835241606824"/>
    <n v="109015"/>
    <n v="17.184381835911761"/>
    <s v="High ROI"/>
    <s v="#SPILL!"/>
  </r>
  <r>
    <n v="21590"/>
    <n v="3.1"/>
    <n v="669"/>
    <n v="35.15"/>
    <n v="235"/>
    <n v="45.1"/>
    <n v="106"/>
    <n v="970"/>
    <n v="102820"/>
    <n v="118140"/>
    <n v="14484"/>
    <n v="21.7"/>
    <n v="61.6"/>
    <n v="136.6"/>
    <n v="-29804"/>
    <n v="-205.77"/>
    <s v="SCH"/>
    <x v="1"/>
    <x v="0"/>
    <x v="2"/>
    <x v="1"/>
    <x v="0"/>
    <n v="1.4358499305233905E-4"/>
    <n v="0.35127055306427502"/>
    <n v="21.650224215246638"/>
    <n v="412.06258890469417"/>
    <n v="-15320"/>
    <n v="6.0988677161005249"/>
    <s v="Low ROI"/>
    <s v="#SPILL!"/>
  </r>
  <r>
    <n v="1188"/>
    <n v="3.25"/>
    <n v="39"/>
    <n v="40.520000000000003"/>
    <n v="16"/>
    <n v="64.5"/>
    <n v="10"/>
    <n v="1110"/>
    <n v="11100"/>
    <n v="9602"/>
    <n v="14352"/>
    <n v="368"/>
    <n v="897"/>
    <n v="1435.2"/>
    <n v="-12854"/>
    <n v="-89.56"/>
    <s v="PHMS"/>
    <x v="3"/>
    <x v="2"/>
    <x v="0"/>
    <x v="2"/>
    <x v="2"/>
    <n v="2.7356902356902358E-3"/>
    <n v="0.41025641025641024"/>
    <n v="368"/>
    <n v="354.19545903257648"/>
    <n v="1498"/>
    <n v="-0.22658862876254179"/>
    <s v="Low ROI"/>
    <s v="#SPILL!"/>
  </r>
  <r>
    <n v="19732"/>
    <n v="4.3899999999999997"/>
    <n v="866"/>
    <n v="43.65"/>
    <n v="378"/>
    <n v="60"/>
    <n v="227"/>
    <n v="1000"/>
    <n v="227000"/>
    <n v="208840"/>
    <n v="22269"/>
    <n v="25.7"/>
    <n v="58.9"/>
    <n v="98.1"/>
    <n v="-4109"/>
    <n v="-18.45"/>
    <s v="PHMS"/>
    <x v="0"/>
    <x v="0"/>
    <x v="0"/>
    <x v="0"/>
    <x v="0"/>
    <n v="2.2248124873302247E-4"/>
    <n v="0.43648960739030024"/>
    <n v="25.714780600461893"/>
    <n v="510.17182130584195"/>
    <n v="18160"/>
    <n v="9.1935425928420678"/>
    <s v="Low ROI"/>
    <s v="#SPILL!"/>
  </r>
  <r>
    <n v="90219"/>
    <n v="4.4800000000000004"/>
    <n v="4042"/>
    <n v="16.86"/>
    <n v="681"/>
    <n v="51.9"/>
    <n v="353"/>
    <n v="5650"/>
    <n v="1994450"/>
    <n v="2136056"/>
    <n v="18095"/>
    <n v="4.5"/>
    <n v="26.6"/>
    <n v="51.3"/>
    <n v="-159701"/>
    <n v="-882.57"/>
    <s v="AIDA"/>
    <x v="2"/>
    <x v="0"/>
    <x v="2"/>
    <x v="1"/>
    <x v="1"/>
    <n v="4.9656945876145827E-5"/>
    <n v="0.16848095002474023"/>
    <n v="4.4767441860465116"/>
    <n v="1073.2502965599051"/>
    <n v="-141606"/>
    <n v="109.22105554020447"/>
    <s v="Low ROI"/>
    <s v="#SPILL!"/>
  </r>
  <r>
    <n v="6124"/>
    <n v="2.8"/>
    <n v="171"/>
    <n v="43.35"/>
    <n v="74"/>
    <n v="64.400000000000006"/>
    <n v="48"/>
    <n v="1010"/>
    <n v="48480"/>
    <n v="36651"/>
    <n v="14328"/>
    <n v="83.8"/>
    <n v="193.6"/>
    <n v="298.5"/>
    <n v="-2499"/>
    <n v="-17.440000000000001"/>
    <s v="PAS"/>
    <x v="1"/>
    <x v="1"/>
    <x v="2"/>
    <x v="2"/>
    <x v="0"/>
    <n v="4.5721750489875897E-4"/>
    <n v="0.43274853801169588"/>
    <n v="83.78947368421052"/>
    <n v="330.51903114186848"/>
    <n v="11829"/>
    <n v="2.3835845896147405"/>
    <s v="Low ROI"/>
    <s v="#SPILL!"/>
  </r>
  <r>
    <n v="133252"/>
    <n v="5.99"/>
    <n v="7982"/>
    <n v="37.39"/>
    <n v="2984"/>
    <n v="66.2"/>
    <n v="1975"/>
    <n v="1210"/>
    <n v="2389750"/>
    <n v="1763636"/>
    <n v="15660"/>
    <n v="2"/>
    <n v="5.2"/>
    <n v="7.9"/>
    <n v="610454"/>
    <n v="3898.17"/>
    <s v="SCH"/>
    <x v="3"/>
    <x v="3"/>
    <x v="2"/>
    <x v="1"/>
    <x v="1"/>
    <n v="4.4952420976795848E-5"/>
    <n v="0.37384114257078427"/>
    <n v="1.9619143071911802"/>
    <n v="418.82856378710886"/>
    <n v="626114"/>
    <n v="151.60217113665391"/>
    <s v="High ROI"/>
    <s v="#SPILL!"/>
  </r>
  <r>
    <n v="50011"/>
    <n v="4.76"/>
    <n v="2381"/>
    <n v="49.56"/>
    <n v="1180"/>
    <n v="55.1"/>
    <n v="650"/>
    <n v="6480"/>
    <n v="4212000"/>
    <n v="3997188"/>
    <n v="17748"/>
    <n v="7.5"/>
    <n v="15"/>
    <n v="27.3"/>
    <n v="197064"/>
    <n v="1110.3399999999999"/>
    <s v="SCH"/>
    <x v="0"/>
    <x v="3"/>
    <x v="0"/>
    <x v="2"/>
    <x v="0"/>
    <n v="9.5179060606666527E-5"/>
    <n v="0.49559008819823602"/>
    <n v="7.454010919781604"/>
    <n v="358.11138014527842"/>
    <n v="214812"/>
    <n v="236.32251521298176"/>
    <s v="High ROI"/>
    <s v="#SPILL!"/>
  </r>
  <r>
    <n v="150242"/>
    <n v="7.24"/>
    <n v="10878"/>
    <n v="24.62"/>
    <n v="2678"/>
    <n v="54.4"/>
    <n v="1457"/>
    <n v="960"/>
    <n v="1398720"/>
    <n v="1407112"/>
    <n v="21585"/>
    <n v="2"/>
    <n v="8.1"/>
    <n v="14.8"/>
    <n v="-29977"/>
    <n v="-138.88"/>
    <s v="SCH"/>
    <x v="2"/>
    <x v="1"/>
    <x v="0"/>
    <x v="2"/>
    <x v="0"/>
    <n v="4.8188921872712024E-5"/>
    <n v="0.24618496047067476"/>
    <n v="1.9842801985659129"/>
    <n v="876.72623883021924"/>
    <n v="-8392"/>
    <n v="63.800555941626129"/>
    <s v="Low ROI"/>
    <s v="#SPILL!"/>
  </r>
  <r>
    <n v="15678"/>
    <n v="6.42"/>
    <n v="1007"/>
    <n v="39"/>
    <n v="393"/>
    <n v="52"/>
    <n v="204"/>
    <n v="940"/>
    <n v="191760"/>
    <n v="176419"/>
    <n v="28291"/>
    <n v="28.1"/>
    <n v="72"/>
    <n v="138.69999999999999"/>
    <n v="-12950"/>
    <n v="-45.77"/>
    <s v="PAS"/>
    <x v="2"/>
    <x v="3"/>
    <x v="2"/>
    <x v="1"/>
    <x v="2"/>
    <n v="4.0949100650593186E-4"/>
    <n v="0.39026812313803377"/>
    <n v="28.09433962264151"/>
    <n v="725.41025641025647"/>
    <n v="15341"/>
    <n v="5.7781273196422891"/>
    <s v="Low ROI"/>
    <s v="#SPILL!"/>
  </r>
  <r>
    <n v="8778"/>
    <n v="3.78"/>
    <n v="332"/>
    <n v="44.51"/>
    <n v="148"/>
    <n v="61.2"/>
    <n v="91"/>
    <n v="980"/>
    <n v="89180"/>
    <n v="83651"/>
    <n v="21476"/>
    <n v="64.7"/>
    <n v="145.1"/>
    <n v="236"/>
    <n v="-15947"/>
    <n v="-74.25"/>
    <s v="PAS"/>
    <x v="3"/>
    <x v="2"/>
    <x v="2"/>
    <x v="1"/>
    <x v="2"/>
    <n v="4.3062200956937798E-4"/>
    <n v="0.44578313253012047"/>
    <n v="64.686746987951807"/>
    <n v="482.49831498539658"/>
    <n v="5529"/>
    <n v="3.152542372881356"/>
    <s v="Low ROI"/>
    <s v="#SPILL!"/>
  </r>
  <r>
    <n v="14045"/>
    <n v="6.96"/>
    <n v="978"/>
    <n v="52.03"/>
    <n v="509"/>
    <n v="47"/>
    <n v="239"/>
    <n v="1280"/>
    <n v="305920"/>
    <n v="315098"/>
    <n v="37145"/>
    <n v="38"/>
    <n v="73"/>
    <n v="155.4"/>
    <n v="-46323"/>
    <n v="-124.71"/>
    <s v="SCH"/>
    <x v="2"/>
    <x v="0"/>
    <x v="0"/>
    <x v="1"/>
    <x v="0"/>
    <n v="4.9555001779992883E-4"/>
    <n v="0.5204498977505112"/>
    <n v="37.980572597137012"/>
    <n v="713.91504901018641"/>
    <n v="-9178"/>
    <n v="7.2358325481222234"/>
    <s v="Low ROI"/>
    <s v="#SPILL!"/>
  </r>
  <r>
    <n v="24343"/>
    <n v="2.86"/>
    <n v="696"/>
    <n v="52.67"/>
    <n v="367"/>
    <n v="63.9"/>
    <n v="235"/>
    <n v="1150"/>
    <n v="270250"/>
    <n v="224578"/>
    <n v="37924"/>
    <n v="54.5"/>
    <n v="103.3"/>
    <n v="161.4"/>
    <n v="7748"/>
    <n v="20.43"/>
    <s v="AIDA"/>
    <x v="1"/>
    <x v="1"/>
    <x v="2"/>
    <x v="1"/>
    <x v="1"/>
    <n v="1.1748757342973339E-4"/>
    <n v="0.5272988505747126"/>
    <n v="54.488505747126439"/>
    <n v="720.03037782418835"/>
    <n v="45672"/>
    <n v="6.1260942938508594"/>
    <s v="High ROI"/>
    <s v="#SPILL!"/>
  </r>
  <r>
    <n v="21590"/>
    <n v="5"/>
    <n v="1080"/>
    <n v="48.13"/>
    <n v="520"/>
    <n v="67.7"/>
    <n v="352"/>
    <n v="1310"/>
    <n v="461120"/>
    <n v="370279"/>
    <n v="24934"/>
    <n v="23.1"/>
    <n v="48"/>
    <n v="70.8"/>
    <n v="65907"/>
    <n v="264.33"/>
    <s v="PHMS"/>
    <x v="2"/>
    <x v="0"/>
    <x v="1"/>
    <x v="1"/>
    <x v="1"/>
    <n v="2.3158869847151459E-4"/>
    <n v="0.48148148148148145"/>
    <n v="23.087037037037039"/>
    <n v="518.05526698524829"/>
    <n v="90841"/>
    <n v="17.493623165156013"/>
    <s v="High ROI"/>
    <s v="#SPILL!"/>
  </r>
  <r>
    <n v="15994"/>
    <n v="3.29"/>
    <n v="526"/>
    <n v="21.09"/>
    <n v="111"/>
    <n v="63.6"/>
    <n v="71"/>
    <n v="4820"/>
    <n v="342220"/>
    <n v="288834"/>
    <n v="29955"/>
    <n v="56.9"/>
    <n v="269.89999999999998"/>
    <n v="421.9"/>
    <n v="23431"/>
    <n v="78.22"/>
    <s v="AIDA"/>
    <x v="2"/>
    <x v="0"/>
    <x v="0"/>
    <x v="1"/>
    <x v="2"/>
    <n v="2.057021383018632E-4"/>
    <n v="0.21102661596958175"/>
    <n v="56.948669201520914"/>
    <n v="1420.3413940256046"/>
    <n v="53386"/>
    <n v="10.42447003839092"/>
    <s v="High ROI"/>
    <s v="#SPILL!"/>
  </r>
  <r>
    <n v="100710"/>
    <n v="7.17"/>
    <n v="7221"/>
    <n v="31.77"/>
    <n v="2294"/>
    <n v="68"/>
    <n v="1560"/>
    <n v="900"/>
    <n v="1404000"/>
    <n v="1024920"/>
    <n v="16500"/>
    <n v="2.2999999999999998"/>
    <n v="7.2"/>
    <n v="10.6"/>
    <n v="362580"/>
    <n v="2197.4499999999998"/>
    <s v="AIDA"/>
    <x v="2"/>
    <x v="3"/>
    <x v="0"/>
    <x v="2"/>
    <x v="0"/>
    <n v="7.1194518915698534E-5"/>
    <n v="0.31768453122836171"/>
    <n v="2.2850020772746156"/>
    <n v="519.35788479697828"/>
    <n v="379080"/>
    <n v="84.090909090909093"/>
    <s v="High ROI"/>
    <s v="#SPILL!"/>
  </r>
  <r>
    <n v="23156"/>
    <n v="5.05"/>
    <n v="1169"/>
    <n v="45.59"/>
    <n v="533"/>
    <n v="51.5"/>
    <n v="274"/>
    <n v="1440"/>
    <n v="394560"/>
    <n v="424152"/>
    <n v="20502"/>
    <n v="17.5"/>
    <n v="38.5"/>
    <n v="74.8"/>
    <n v="-50094"/>
    <n v="-244.34"/>
    <s v="SCH"/>
    <x v="3"/>
    <x v="3"/>
    <x v="2"/>
    <x v="2"/>
    <x v="0"/>
    <n v="2.1808602522024528E-4"/>
    <n v="0.45594525235243799"/>
    <n v="17.538066723695465"/>
    <n v="449.70388243035751"/>
    <n v="-29592"/>
    <n v="18.244951712028094"/>
    <s v="Low ROI"/>
    <s v="#SPILL!"/>
  </r>
  <r>
    <n v="84120"/>
    <n v="6.82"/>
    <n v="5737"/>
    <n v="19.96"/>
    <n v="1145"/>
    <n v="38.4"/>
    <n v="440"/>
    <n v="1090"/>
    <n v="479600"/>
    <n v="583194"/>
    <n v="19250"/>
    <n v="3.4"/>
    <n v="16.8"/>
    <n v="43.8"/>
    <n v="-122844"/>
    <n v="-638.15"/>
    <s v="PAS"/>
    <x v="0"/>
    <x v="3"/>
    <x v="1"/>
    <x v="2"/>
    <x v="0"/>
    <n v="8.1074655254398487E-5"/>
    <n v="0.1995816628900122"/>
    <n v="3.355412236360467"/>
    <n v="964.42885771543081"/>
    <n v="-103594"/>
    <n v="23.914285714285715"/>
    <s v="Low ROI"/>
    <s v="#SPILL!"/>
  </r>
  <r>
    <n v="7785"/>
    <n v="3.22"/>
    <n v="251"/>
    <n v="39.74"/>
    <n v="100"/>
    <n v="73.900000000000006"/>
    <n v="74"/>
    <n v="1470"/>
    <n v="108780"/>
    <n v="80606"/>
    <n v="32220"/>
    <n v="128.4"/>
    <n v="322.2"/>
    <n v="435.4"/>
    <n v="-4046"/>
    <n v="-12.56"/>
    <s v="SCH"/>
    <x v="0"/>
    <x v="1"/>
    <x v="0"/>
    <x v="2"/>
    <x v="1"/>
    <n v="4.1361592806679517E-4"/>
    <n v="0.39840637450199201"/>
    <n v="128.36653386454182"/>
    <n v="810.77000503271256"/>
    <n v="28174"/>
    <n v="2.3761638733705772"/>
    <s v="Low ROI"/>
    <s v="#SPILL!"/>
  </r>
  <r>
    <n v="3395"/>
    <n v="2.75"/>
    <n v="93"/>
    <n v="21.82"/>
    <n v="20"/>
    <n v="78.8"/>
    <n v="16"/>
    <n v="980"/>
    <n v="15680"/>
    <n v="11478"/>
    <n v="23325"/>
    <n v="250.8"/>
    <n v="1166.3"/>
    <n v="1457.8"/>
    <n v="-19123"/>
    <n v="-81.98"/>
    <s v="PAS"/>
    <x v="3"/>
    <x v="3"/>
    <x v="0"/>
    <x v="2"/>
    <x v="0"/>
    <n v="8.1001472754050079E-4"/>
    <n v="0.21505376344086022"/>
    <n v="250.80645161290323"/>
    <n v="1068.9734188817599"/>
    <n v="4202"/>
    <n v="-0.3277599142550911"/>
    <s v="Low ROI"/>
    <s v="#SPILL!"/>
  </r>
  <r>
    <n v="89322"/>
    <n v="4.3099999999999996"/>
    <n v="3850"/>
    <n v="31.38"/>
    <n v="1208"/>
    <n v="62.1"/>
    <n v="750"/>
    <n v="1160"/>
    <n v="870000"/>
    <n v="790830"/>
    <n v="9492"/>
    <n v="2.5"/>
    <n v="7.9"/>
    <n v="12.7"/>
    <n v="69678"/>
    <n v="734.07"/>
    <s v="SCH"/>
    <x v="0"/>
    <x v="2"/>
    <x v="0"/>
    <x v="3"/>
    <x v="0"/>
    <n v="4.8252390228611087E-5"/>
    <n v="0.31376623376623375"/>
    <n v="2.4654545454545453"/>
    <n v="302.48565965583174"/>
    <n v="79170"/>
    <n v="90.656131479140328"/>
    <s v="High ROI"/>
    <s v="#SPILL!"/>
  </r>
  <r>
    <n v="79221"/>
    <n v="3.67"/>
    <n v="2907"/>
    <n v="20.09"/>
    <n v="584"/>
    <n v="67.099999999999994"/>
    <n v="392"/>
    <n v="1030"/>
    <n v="403760"/>
    <n v="306454"/>
    <n v="15884"/>
    <n v="5.5"/>
    <n v="27.2"/>
    <n v="40.5"/>
    <n v="81422"/>
    <n v="512.6"/>
    <s v="PHMS"/>
    <x v="0"/>
    <x v="2"/>
    <x v="1"/>
    <x v="2"/>
    <x v="0"/>
    <n v="4.632610040267101E-5"/>
    <n v="0.20089439284485724"/>
    <n v="5.4640522875816995"/>
    <n v="790.64211050273764"/>
    <n v="97306"/>
    <n v="24.419289851422814"/>
    <s v="High ROI"/>
    <s v="#SPILL!"/>
  </r>
  <r>
    <n v="117008"/>
    <n v="3.25"/>
    <n v="3803"/>
    <n v="43.97"/>
    <n v="1672"/>
    <n v="61.3"/>
    <n v="1025"/>
    <n v="1280"/>
    <n v="1312000"/>
    <n v="1085024"/>
    <n v="26586"/>
    <n v="7"/>
    <n v="15.9"/>
    <n v="25.9"/>
    <n v="200390"/>
    <n v="753.74"/>
    <s v="SCH"/>
    <x v="2"/>
    <x v="1"/>
    <x v="2"/>
    <x v="0"/>
    <x v="0"/>
    <n v="2.7775878572405305E-5"/>
    <n v="0.43965290560084141"/>
    <n v="6.9907967394162505"/>
    <n v="604.63952695019339"/>
    <n v="226976"/>
    <n v="48.349281576769727"/>
    <s v="High ROI"/>
    <s v="#SPILL!"/>
  </r>
  <r>
    <n v="5378"/>
    <n v="4.01"/>
    <n v="216"/>
    <n v="42.9"/>
    <n v="93"/>
    <n v="55.7"/>
    <n v="52"/>
    <n v="1160"/>
    <n v="60320"/>
    <n v="53866"/>
    <n v="28883"/>
    <n v="133.69999999999999"/>
    <n v="310.60000000000002"/>
    <n v="555.4"/>
    <n v="-22429"/>
    <n v="-77.650000000000006"/>
    <s v="PHMS"/>
    <x v="1"/>
    <x v="3"/>
    <x v="0"/>
    <x v="0"/>
    <x v="1"/>
    <n v="7.456303458534771E-4"/>
    <n v="0.43055555555555558"/>
    <n v="133.71759259259258"/>
    <n v="673.26340326340323"/>
    <n v="6454"/>
    <n v="1.088425717550116"/>
    <s v="Low ROI"/>
    <s v="#SPILL!"/>
  </r>
  <r>
    <n v="3134"/>
    <n v="5.93"/>
    <n v="186"/>
    <n v="15.61"/>
    <n v="29"/>
    <n v="57.2"/>
    <n v="17"/>
    <n v="960"/>
    <n v="16320"/>
    <n v="15471"/>
    <n v="10320"/>
    <n v="55.5"/>
    <n v="355.9"/>
    <n v="607.1"/>
    <n v="-9471"/>
    <n v="-91.77"/>
    <s v="PAS"/>
    <x v="2"/>
    <x v="1"/>
    <x v="2"/>
    <x v="2"/>
    <x v="1"/>
    <n v="1.8921506062539884E-3"/>
    <n v="0.15591397849462366"/>
    <n v="55.483870967741936"/>
    <n v="661.11467008327998"/>
    <n v="849"/>
    <n v="0.58139534883720934"/>
    <s v="Low ROI"/>
    <s v="#SPILL!"/>
  </r>
  <r>
    <n v="2618"/>
    <n v="3.22"/>
    <n v="84"/>
    <n v="37.14"/>
    <n v="31"/>
    <n v="60.9"/>
    <n v="19"/>
    <n v="1390"/>
    <n v="26410"/>
    <n v="23267"/>
    <n v="21853"/>
    <n v="260.2"/>
    <n v="704.9"/>
    <n v="1150.2"/>
    <n v="-18710"/>
    <n v="-85.62"/>
    <s v="SCH"/>
    <x v="3"/>
    <x v="2"/>
    <x v="1"/>
    <x v="0"/>
    <x v="2"/>
    <n v="1.2299465240641712E-3"/>
    <n v="0.36904761904761907"/>
    <n v="260.15476190476193"/>
    <n v="588.39526117393643"/>
    <n v="3143"/>
    <n v="0.20852972131972727"/>
    <s v="Low ROI"/>
    <s v="#SPILL!"/>
  </r>
  <r>
    <n v="100710"/>
    <n v="6.82"/>
    <n v="6868"/>
    <n v="24.82"/>
    <n v="1705"/>
    <n v="58.9"/>
    <n v="1004"/>
    <n v="1010"/>
    <n v="1014040"/>
    <n v="944071"/>
    <n v="22576"/>
    <n v="3.3"/>
    <n v="13.2"/>
    <n v="22.5"/>
    <n v="47393"/>
    <n v="209.93"/>
    <s v="AIDA"/>
    <x v="2"/>
    <x v="0"/>
    <x v="0"/>
    <x v="0"/>
    <x v="0"/>
    <n v="6.7719193724555664E-5"/>
    <n v="0.24825276645311589"/>
    <n v="3.2871287128712869"/>
    <n v="909.58904109589037"/>
    <n v="69969"/>
    <n v="43.916725726435153"/>
    <s v="High ROI"/>
    <s v="#SPILL!"/>
  </r>
  <r>
    <n v="6503"/>
    <n v="3.63"/>
    <n v="236"/>
    <n v="33.56"/>
    <n v="79"/>
    <n v="60.6"/>
    <n v="48"/>
    <n v="5260"/>
    <n v="252480"/>
    <n v="248440"/>
    <n v="5995"/>
    <n v="25.4"/>
    <n v="75.900000000000006"/>
    <n v="124.9"/>
    <n v="-1955"/>
    <n v="-32.61"/>
    <s v="AIDA"/>
    <x v="3"/>
    <x v="1"/>
    <x v="0"/>
    <x v="3"/>
    <x v="0"/>
    <n v="5.5820390588958942E-4"/>
    <n v="0.3347457627118644"/>
    <n v="25.402542372881356"/>
    <n v="178.63528009535159"/>
    <n v="4040"/>
    <n v="41.115095913261051"/>
    <s v="Low ROI"/>
    <s v="#SPILL!"/>
  </r>
  <r>
    <n v="1556"/>
    <n v="2.77"/>
    <n v="43"/>
    <n v="40.409999999999997"/>
    <n v="17"/>
    <n v="38"/>
    <n v="6"/>
    <n v="2990"/>
    <n v="17940"/>
    <n v="19016"/>
    <n v="11080"/>
    <n v="257.7"/>
    <n v="651.79999999999995"/>
    <n v="1846.7"/>
    <n v="-12156"/>
    <n v="-109.71"/>
    <s v="SCH"/>
    <x v="1"/>
    <x v="2"/>
    <x v="0"/>
    <x v="3"/>
    <x v="0"/>
    <n v="1.7802056555269923E-3"/>
    <n v="0.39534883720930231"/>
    <n v="257.67441860465118"/>
    <n v="274.18955704033658"/>
    <n v="-1076"/>
    <n v="0.61913357400722024"/>
    <s v="Low ROI"/>
    <s v="#SPILL!"/>
  </r>
  <r>
    <n v="117008"/>
    <n v="2.75"/>
    <n v="3218"/>
    <n v="22.11"/>
    <n v="711"/>
    <n v="40.799999999999997"/>
    <n v="290"/>
    <n v="1120"/>
    <n v="324800"/>
    <n v="374170"/>
    <n v="9163"/>
    <n v="2.8"/>
    <n v="12.9"/>
    <n v="31.6"/>
    <n v="-58533"/>
    <n v="-638.79999999999995"/>
    <s v="SCH"/>
    <x v="3"/>
    <x v="3"/>
    <x v="0"/>
    <x v="1"/>
    <x v="2"/>
    <n v="2.3502666484342951E-5"/>
    <n v="0.22094468614045992"/>
    <n v="2.8474207582349287"/>
    <n v="414.42786069651743"/>
    <n v="-49370"/>
    <n v="34.446906035141332"/>
    <s v="Low ROI"/>
    <s v="#SPILL!"/>
  </r>
  <r>
    <n v="86682"/>
    <n v="4.1399999999999997"/>
    <n v="3589"/>
    <n v="18.350000000000001"/>
    <n v="659"/>
    <n v="70.2"/>
    <n v="463"/>
    <n v="970"/>
    <n v="449110"/>
    <n v="349408"/>
    <n v="13888"/>
    <n v="3.9"/>
    <n v="21.1"/>
    <n v="30"/>
    <n v="85814"/>
    <n v="617.9"/>
    <s v="SCH"/>
    <x v="2"/>
    <x v="2"/>
    <x v="0"/>
    <x v="0"/>
    <x v="0"/>
    <n v="4.7760780784938043E-5"/>
    <n v="0.18361660629701868"/>
    <n v="3.8696015603232099"/>
    <n v="756.83923705722066"/>
    <n v="99702"/>
    <n v="31.337989631336406"/>
    <s v="High ROI"/>
    <s v="#SPILL!"/>
  </r>
  <r>
    <n v="157945"/>
    <n v="3.74"/>
    <n v="5907"/>
    <n v="32.869999999999997"/>
    <n v="1942"/>
    <n v="51.5"/>
    <n v="1000"/>
    <n v="960"/>
    <n v="960000"/>
    <n v="955200"/>
    <n v="12292"/>
    <n v="2.1"/>
    <n v="6.3"/>
    <n v="12.3"/>
    <n v="-7492"/>
    <n v="-60.95"/>
    <s v="SCH"/>
    <x v="0"/>
    <x v="1"/>
    <x v="0"/>
    <x v="0"/>
    <x v="0"/>
    <n v="2.367912881066194E-5"/>
    <n v="0.32876248518706619"/>
    <n v="2.0809209412561369"/>
    <n v="373.95801642835414"/>
    <n v="4800"/>
    <n v="77.099576960624802"/>
    <s v="Low ROI"/>
    <s v="#SPILL!"/>
  </r>
  <r>
    <n v="3103"/>
    <n v="4.8099999999999996"/>
    <n v="149"/>
    <n v="47.96"/>
    <n v="71"/>
    <n v="43.4"/>
    <n v="31"/>
    <n v="1220"/>
    <n v="37820"/>
    <n v="43720"/>
    <n v="31000"/>
    <n v="208.1"/>
    <n v="436.6"/>
    <n v="1000"/>
    <n v="-36900"/>
    <n v="-119.03"/>
    <s v="PAS"/>
    <x v="1"/>
    <x v="3"/>
    <x v="0"/>
    <x v="2"/>
    <x v="0"/>
    <n v="1.5501127940702544E-3"/>
    <n v="0.47651006711409394"/>
    <n v="208.05369127516778"/>
    <n v="646.371976647206"/>
    <n v="-5900"/>
    <n v="0.22"/>
    <s v="Low ROI"/>
    <s v="#SPILL!"/>
  </r>
  <r>
    <n v="3944"/>
    <n v="3.22"/>
    <n v="127"/>
    <n v="30.01"/>
    <n v="38"/>
    <n v="72.7"/>
    <n v="28"/>
    <n v="1300"/>
    <n v="36400"/>
    <n v="29593"/>
    <n v="14655"/>
    <n v="115.4"/>
    <n v="385.7"/>
    <n v="523.4"/>
    <n v="-7848"/>
    <n v="-53.55"/>
    <s v="SCH"/>
    <x v="3"/>
    <x v="3"/>
    <x v="0"/>
    <x v="0"/>
    <x v="0"/>
    <n v="8.1643002028397571E-4"/>
    <n v="0.29921259842519687"/>
    <n v="115.39370078740157"/>
    <n v="488.33722092635787"/>
    <n v="6807"/>
    <n v="1.4837939269873763"/>
    <s v="Low ROI"/>
    <s v="#SPILL!"/>
  </r>
  <r>
    <n v="20952"/>
    <n v="3.82"/>
    <n v="800"/>
    <n v="31.89"/>
    <n v="255"/>
    <n v="64.099999999999994"/>
    <n v="163"/>
    <n v="1350"/>
    <n v="220050"/>
    <n v="204426"/>
    <n v="23184"/>
    <n v="29"/>
    <n v="90.9"/>
    <n v="142.19999999999999"/>
    <n v="-7560"/>
    <n v="-32.61"/>
    <s v="SCH"/>
    <x v="3"/>
    <x v="1"/>
    <x v="1"/>
    <x v="0"/>
    <x v="1"/>
    <n v="1.8232149675448644E-4"/>
    <n v="0.31874999999999998"/>
    <n v="28.98"/>
    <n v="726.99905926622762"/>
    <n v="15624"/>
    <n v="8.491459627329192"/>
    <s v="Low ROI"/>
    <s v="#SPILL!"/>
  </r>
  <r>
    <n v="80017"/>
    <n v="6.17"/>
    <n v="4937"/>
    <n v="43.39"/>
    <n v="2142"/>
    <n v="72.599999999999994"/>
    <n v="1555"/>
    <n v="1450"/>
    <n v="2254750"/>
    <n v="1790272"/>
    <n v="32946"/>
    <n v="6.7"/>
    <n v="15.4"/>
    <n v="21.2"/>
    <n v="431532"/>
    <n v="1309.82"/>
    <s v="PHMS"/>
    <x v="2"/>
    <x v="3"/>
    <x v="1"/>
    <x v="1"/>
    <x v="2"/>
    <n v="7.7108614419435869E-5"/>
    <n v="0.43386672068057525"/>
    <n v="6.6732833704678951"/>
    <n v="759.2993777368057"/>
    <n v="464478"/>
    <n v="67.437746615674129"/>
    <s v="High ROI"/>
    <s v="#SPILL!"/>
  </r>
  <r>
    <n v="3498"/>
    <n v="5.0999999999999996"/>
    <n v="178"/>
    <n v="18.3"/>
    <n v="33"/>
    <n v="76.7"/>
    <n v="25"/>
    <n v="1060"/>
    <n v="26500"/>
    <n v="21280"/>
    <n v="12844"/>
    <n v="72.2"/>
    <n v="389.2"/>
    <n v="513.79999999999995"/>
    <n v="-7624"/>
    <n v="-59.36"/>
    <s v="SCH"/>
    <x v="2"/>
    <x v="0"/>
    <x v="0"/>
    <x v="2"/>
    <x v="1"/>
    <n v="1.457975986277873E-3"/>
    <n v="0.1853932584269663"/>
    <n v="72.157303370786522"/>
    <n v="701.85792349726773"/>
    <n v="5220"/>
    <n v="1.0632201806290875"/>
    <s v="Low ROI"/>
    <s v="#SPILL!"/>
  </r>
  <r>
    <n v="5014"/>
    <n v="2.92"/>
    <n v="146"/>
    <n v="34.26"/>
    <n v="50"/>
    <n v="66.400000000000006"/>
    <n v="33"/>
    <n v="1280"/>
    <n v="42240"/>
    <n v="34468"/>
    <n v="11892"/>
    <n v="81.5"/>
    <n v="237.8"/>
    <n v="360.4"/>
    <n v="-4120"/>
    <n v="-34.65"/>
    <s v="PHMS"/>
    <x v="3"/>
    <x v="0"/>
    <x v="0"/>
    <x v="1"/>
    <x v="0"/>
    <n v="5.8236936577582771E-4"/>
    <n v="0.34246575342465752"/>
    <n v="81.452054794520549"/>
    <n v="347.11033274956219"/>
    <n v="7772"/>
    <n v="2.5519677093844599"/>
    <s v="Low ROI"/>
    <s v="#SPILL!"/>
  </r>
  <r>
    <n v="1153"/>
    <n v="4.26"/>
    <n v="49"/>
    <n v="37.869999999999997"/>
    <n v="19"/>
    <n v="66.900000000000006"/>
    <n v="13"/>
    <n v="1200"/>
    <n v="15600"/>
    <n v="13120"/>
    <n v="21956"/>
    <n v="448.1"/>
    <n v="1155.5999999999999"/>
    <n v="1688.9"/>
    <n v="-19476"/>
    <n v="-88.7"/>
    <s v="AIDA"/>
    <x v="1"/>
    <x v="1"/>
    <x v="2"/>
    <x v="1"/>
    <x v="0"/>
    <n v="3.6947094535993061E-3"/>
    <n v="0.38775510204081631"/>
    <n v="448.08163265306121"/>
    <n v="579.77290731449705"/>
    <n v="2480"/>
    <n v="-0.28948806704317726"/>
    <s v="Low ROI"/>
    <s v="#SPILL!"/>
  </r>
  <r>
    <n v="30333"/>
    <n v="4.8099999999999996"/>
    <n v="1459"/>
    <n v="37.53"/>
    <n v="548"/>
    <n v="54.7"/>
    <n v="300"/>
    <n v="940"/>
    <n v="282000"/>
    <n v="291306"/>
    <n v="16507"/>
    <n v="11.3"/>
    <n v="30.1"/>
    <n v="55"/>
    <n v="-25813"/>
    <n v="-156.38"/>
    <s v="PAS"/>
    <x v="0"/>
    <x v="2"/>
    <x v="0"/>
    <x v="3"/>
    <x v="0"/>
    <n v="1.5857317113374871E-4"/>
    <n v="0.37559972583961615"/>
    <n v="11.313913639479095"/>
    <n v="439.83479882760457"/>
    <n v="-9306"/>
    <n v="16.083661476949175"/>
    <s v="Low ROI"/>
    <s v="#SPILL!"/>
  </r>
  <r>
    <n v="1466"/>
    <n v="2.83"/>
    <n v="41"/>
    <n v="40.96"/>
    <n v="17"/>
    <n v="49.8"/>
    <n v="8"/>
    <n v="1300"/>
    <n v="10400"/>
    <n v="10005"/>
    <n v="25410"/>
    <n v="619.79999999999995"/>
    <n v="1494.7"/>
    <n v="3176.3"/>
    <n v="-25015"/>
    <n v="-98.45"/>
    <s v="SCH"/>
    <x v="0"/>
    <x v="1"/>
    <x v="1"/>
    <x v="1"/>
    <x v="2"/>
    <n v="1.9304229195088677E-3"/>
    <n v="0.41463414634146339"/>
    <n v="619.7560975609756"/>
    <n v="620.361328125"/>
    <n v="395"/>
    <n v="-0.59071231798504531"/>
    <s v="Low ROI"/>
    <s v="#SPILL!"/>
  </r>
  <r>
    <n v="30638"/>
    <n v="5.75"/>
    <n v="1762"/>
    <n v="13.6"/>
    <n v="240"/>
    <n v="75.3"/>
    <n v="181"/>
    <n v="1390"/>
    <n v="251590"/>
    <n v="213097"/>
    <n v="11203"/>
    <n v="6.4"/>
    <n v="46.7"/>
    <n v="61.9"/>
    <n v="27290"/>
    <n v="243.6"/>
    <s v="PHMS"/>
    <x v="3"/>
    <x v="0"/>
    <x v="0"/>
    <x v="1"/>
    <x v="0"/>
    <n v="1.8767543573340297E-4"/>
    <n v="0.1362088535754824"/>
    <n v="6.3581157775255388"/>
    <n v="823.75"/>
    <n v="38493"/>
    <n v="21.45737748817281"/>
    <s v="High ROI"/>
    <s v="#SPILL!"/>
  </r>
  <r>
    <n v="1772"/>
    <n v="3.6"/>
    <n v="64"/>
    <n v="44.66"/>
    <n v="29"/>
    <n v="66.3"/>
    <n v="19"/>
    <n v="1400"/>
    <n v="26600"/>
    <n v="21466"/>
    <n v="10575"/>
    <n v="165.2"/>
    <n v="364.7"/>
    <n v="556.6"/>
    <n v="-5441"/>
    <n v="-51.45"/>
    <s v="AIDA"/>
    <x v="1"/>
    <x v="2"/>
    <x v="1"/>
    <x v="0"/>
    <x v="0"/>
    <n v="2.0316027088036117E-3"/>
    <n v="0.453125"/>
    <n v="165.234375"/>
    <n v="236.78907299596958"/>
    <n v="5134"/>
    <n v="1.5153664302600474"/>
    <s v="Low ROI"/>
    <s v="#SPILL!"/>
  </r>
  <r>
    <n v="2465"/>
    <n v="6.55"/>
    <n v="161"/>
    <n v="49.41"/>
    <n v="80"/>
    <n v="64.5"/>
    <n v="52"/>
    <n v="960"/>
    <n v="49920"/>
    <n v="44179"/>
    <n v="19474"/>
    <n v="121"/>
    <n v="243.4"/>
    <n v="374.5"/>
    <n v="-13733"/>
    <n v="-70.52"/>
    <s v="PAS"/>
    <x v="0"/>
    <x v="1"/>
    <x v="1"/>
    <x v="2"/>
    <x v="0"/>
    <n v="2.6572008113590262E-3"/>
    <n v="0.49689440993788819"/>
    <n v="120.95652173913044"/>
    <n v="394.1307427646226"/>
    <n v="5741"/>
    <n v="1.5634178905206944"/>
    <s v="Low ROI"/>
    <s v="#SPILL!"/>
  </r>
  <r>
    <n v="2441"/>
    <n v="5.87"/>
    <n v="143"/>
    <n v="39.71"/>
    <n v="57"/>
    <n v="71.3"/>
    <n v="41"/>
    <n v="1190"/>
    <n v="48790"/>
    <n v="43277"/>
    <n v="24776"/>
    <n v="173.3"/>
    <n v="434.7"/>
    <n v="604.29999999999995"/>
    <n v="-19263"/>
    <n v="-77.75"/>
    <s v="PAS"/>
    <x v="2"/>
    <x v="0"/>
    <x v="0"/>
    <x v="0"/>
    <x v="0"/>
    <n v="2.4047521507578862E-3"/>
    <n v="0.39860139860139859"/>
    <n v="173.25874125874125"/>
    <n v="623.92344497607655"/>
    <n v="5513"/>
    <n v="0.96924443009363903"/>
    <s v="Low ROI"/>
    <s v="#SPILL!"/>
  </r>
  <r>
    <n v="7187"/>
    <n v="5.26"/>
    <n v="378"/>
    <n v="28.02"/>
    <n v="106"/>
    <n v="60.8"/>
    <n v="64"/>
    <n v="900"/>
    <n v="57600"/>
    <n v="47923"/>
    <n v="17888"/>
    <n v="47.3"/>
    <n v="168.8"/>
    <n v="279.5"/>
    <n v="-8211"/>
    <n v="-45.9"/>
    <s v="SCH"/>
    <x v="3"/>
    <x v="1"/>
    <x v="0"/>
    <x v="0"/>
    <x v="2"/>
    <n v="7.3187700013914014E-4"/>
    <n v="0.28042328042328041"/>
    <n v="47.322751322751323"/>
    <n v="638.401142041399"/>
    <n v="9677"/>
    <n v="2.2200357781753133"/>
    <s v="Low ROI"/>
    <s v="#SPILL!"/>
  </r>
  <r>
    <n v="117008"/>
    <n v="5.42"/>
    <n v="6342"/>
    <n v="33.229999999999997"/>
    <n v="2107"/>
    <n v="49.8"/>
    <n v="1049"/>
    <n v="1050"/>
    <n v="1101450"/>
    <n v="1081624"/>
    <n v="21120"/>
    <n v="3.3"/>
    <n v="10"/>
    <n v="20.100000000000001"/>
    <n v="-1294"/>
    <n v="-6.13"/>
    <s v="PHMS"/>
    <x v="1"/>
    <x v="0"/>
    <x v="0"/>
    <x v="1"/>
    <x v="2"/>
    <n v="4.6321619034595921E-5"/>
    <n v="0.33222958057395141"/>
    <n v="3.3301797540208136"/>
    <n v="635.57026783027391"/>
    <n v="19826"/>
    <n v="51.151988636363633"/>
    <s v="Low ROI"/>
    <s v="#SPILL!"/>
  </r>
  <r>
    <n v="78433"/>
    <n v="3.06"/>
    <n v="2400"/>
    <n v="54.62"/>
    <n v="1311"/>
    <n v="60.6"/>
    <n v="794"/>
    <n v="1240"/>
    <n v="984560"/>
    <n v="830969"/>
    <n v="18180"/>
    <n v="7.6"/>
    <n v="13.9"/>
    <n v="22.9"/>
    <n v="135411"/>
    <n v="744.83"/>
    <s v="PHMS"/>
    <x v="3"/>
    <x v="3"/>
    <x v="2"/>
    <x v="2"/>
    <x v="0"/>
    <n v="3.901419045554805E-5"/>
    <n v="0.54625000000000001"/>
    <n v="7.5750000000000002"/>
    <n v="332.84511168070304"/>
    <n v="153591"/>
    <n v="53.156215621562154"/>
    <s v="High ROI"/>
    <s v="#SPILL!"/>
  </r>
  <r>
    <n v="11849"/>
    <n v="6.82"/>
    <n v="808"/>
    <n v="31.87"/>
    <n v="258"/>
    <n v="60.3"/>
    <n v="156"/>
    <n v="990"/>
    <n v="154440"/>
    <n v="126177"/>
    <n v="20664"/>
    <n v="25.6"/>
    <n v="80.099999999999994"/>
    <n v="132.5"/>
    <n v="7599"/>
    <n v="36.770000000000003"/>
    <s v="AIDA"/>
    <x v="3"/>
    <x v="3"/>
    <x v="0"/>
    <x v="0"/>
    <x v="0"/>
    <n v="5.7557599797451264E-4"/>
    <n v="0.31930693069306931"/>
    <n v="25.574257425742573"/>
    <n v="648.38406024474421"/>
    <n v="28263"/>
    <n v="6.473867595818815"/>
    <s v="High ROI"/>
    <s v="#SPILL!"/>
  </r>
  <r>
    <n v="133252"/>
    <n v="4.3499999999999996"/>
    <n v="5796"/>
    <n v="28.64"/>
    <n v="1660"/>
    <n v="59.3"/>
    <n v="984"/>
    <n v="1030"/>
    <n v="1013520"/>
    <n v="969939"/>
    <n v="20052"/>
    <n v="3.5"/>
    <n v="12.1"/>
    <n v="20.399999999999999"/>
    <n v="23529"/>
    <n v="117.34"/>
    <s v="SCH"/>
    <x v="3"/>
    <x v="2"/>
    <x v="0"/>
    <x v="1"/>
    <x v="0"/>
    <n v="3.264491339717227E-5"/>
    <n v="0.28640441683919943"/>
    <n v="3.4596273291925468"/>
    <n v="700.13966480446925"/>
    <n v="43581"/>
    <n v="49.544584081388393"/>
    <s v="High ROI"/>
    <s v="#SPILL!"/>
  </r>
  <r>
    <n v="2208"/>
    <n v="3.86"/>
    <n v="85"/>
    <n v="15.16"/>
    <n v="13"/>
    <n v="66.5"/>
    <n v="9"/>
    <n v="1420"/>
    <n v="12780"/>
    <n v="9649"/>
    <n v="24192"/>
    <n v="284.60000000000002"/>
    <n v="1860.9"/>
    <n v="2688"/>
    <n v="-21061"/>
    <n v="-87.06"/>
    <s v="PHMS"/>
    <x v="2"/>
    <x v="2"/>
    <x v="2"/>
    <x v="2"/>
    <x v="2"/>
    <n v="1.7481884057971013E-3"/>
    <n v="0.15294117647058825"/>
    <n v="284.61176470588236"/>
    <n v="1595.778364116095"/>
    <n v="3131"/>
    <n v="-0.47172619047619047"/>
    <s v="Low ROI"/>
    <s v="#SPILL!"/>
  </r>
  <r>
    <n v="3072"/>
    <n v="3"/>
    <n v="92"/>
    <n v="50.9"/>
    <n v="47"/>
    <n v="48.8"/>
    <n v="23"/>
    <n v="1310"/>
    <n v="30130"/>
    <n v="28684"/>
    <n v="10790"/>
    <n v="117.3"/>
    <n v="229.6"/>
    <n v="469.1"/>
    <n v="-9344"/>
    <n v="-86.6"/>
    <s v="SCH"/>
    <x v="0"/>
    <x v="0"/>
    <x v="1"/>
    <x v="1"/>
    <x v="1"/>
    <n v="9.765625E-4"/>
    <n v="0.51086956521739135"/>
    <n v="117.28260869565217"/>
    <n v="211.98428290766208"/>
    <n v="1446"/>
    <n v="1.7924003707136238"/>
    <s v="Low ROI"/>
    <s v="#SPILL!"/>
  </r>
  <r>
    <n v="1466"/>
    <n v="5.37"/>
    <n v="79"/>
    <n v="17.32"/>
    <n v="14"/>
    <n v="78.5"/>
    <n v="11"/>
    <n v="1100"/>
    <n v="12100"/>
    <n v="8652"/>
    <n v="13486"/>
    <n v="170.7"/>
    <n v="963.3"/>
    <n v="1226"/>
    <n v="-10038"/>
    <n v="-74.430000000000007"/>
    <s v="AIDA"/>
    <x v="0"/>
    <x v="1"/>
    <x v="0"/>
    <x v="1"/>
    <x v="0"/>
    <n v="3.6630286493860849E-3"/>
    <n v="0.17721518987341772"/>
    <n v="170.70886075949366"/>
    <n v="778.63741339491912"/>
    <n v="3448"/>
    <n v="-0.10277324632952692"/>
    <s v="Low ROI"/>
    <s v="#SPILL!"/>
  </r>
  <r>
    <n v="73130"/>
    <n v="5.37"/>
    <n v="3927"/>
    <n v="41.31"/>
    <n v="1622"/>
    <n v="76.5"/>
    <n v="1241"/>
    <n v="980"/>
    <n v="1216180"/>
    <n v="820922"/>
    <n v="13850"/>
    <n v="3.5"/>
    <n v="8.5"/>
    <n v="11.2"/>
    <n v="381408"/>
    <n v="2753.85"/>
    <s v="PHMS"/>
    <x v="2"/>
    <x v="0"/>
    <x v="0"/>
    <x v="3"/>
    <x v="0"/>
    <n v="7.343087652126351E-5"/>
    <n v="0.41303794244970715"/>
    <n v="3.5268652915711738"/>
    <n v="335.26991043330912"/>
    <n v="395258"/>
    <n v="86.810830324909745"/>
    <s v="High ROI"/>
    <s v="#SPILL!"/>
  </r>
  <r>
    <n v="131926"/>
    <n v="2.92"/>
    <n v="3852"/>
    <n v="47.51"/>
    <n v="1830"/>
    <n v="46"/>
    <n v="842"/>
    <n v="3570"/>
    <n v="3005940"/>
    <n v="3306534"/>
    <n v="22545"/>
    <n v="5.9"/>
    <n v="12.3"/>
    <n v="26.8"/>
    <n v="-323139"/>
    <n v="-1433.31"/>
    <s v="PHMS"/>
    <x v="1"/>
    <x v="2"/>
    <x v="0"/>
    <x v="2"/>
    <x v="0"/>
    <n v="2.2133620362930733E-5"/>
    <n v="0.47507788161993769"/>
    <n v="5.8528037383177569"/>
    <n v="474.53167754157022"/>
    <n v="-300594"/>
    <n v="132.33067198935461"/>
    <s v="Low ROI"/>
    <s v="#SPILL!"/>
  </r>
  <r>
    <n v="22026"/>
    <n v="3.29"/>
    <n v="725"/>
    <n v="28.26"/>
    <n v="205"/>
    <n v="56.1"/>
    <n v="115"/>
    <n v="1280"/>
    <n v="147200"/>
    <n v="138221"/>
    <n v="8762"/>
    <n v="12.1"/>
    <n v="42.7"/>
    <n v="76.2"/>
    <n v="217"/>
    <n v="2.48"/>
    <s v="PAS"/>
    <x v="3"/>
    <x v="1"/>
    <x v="0"/>
    <x v="3"/>
    <x v="0"/>
    <n v="1.4936892763098156E-4"/>
    <n v="0.28275862068965518"/>
    <n v="12.085517241379311"/>
    <n v="310.04953998584568"/>
    <n v="8979"/>
    <n v="15.799817393289203"/>
    <s v="High ROI"/>
    <s v="#SPILL!"/>
  </r>
  <r>
    <n v="8022"/>
    <n v="7.03"/>
    <n v="564"/>
    <n v="34.31"/>
    <n v="194"/>
    <n v="46.2"/>
    <n v="90"/>
    <n v="940"/>
    <n v="84600"/>
    <n v="86969"/>
    <n v="8850"/>
    <n v="15.7"/>
    <n v="45.6"/>
    <n v="98.3"/>
    <n v="-11219"/>
    <n v="-126.77"/>
    <s v="AIDA"/>
    <x v="2"/>
    <x v="0"/>
    <x v="0"/>
    <x v="3"/>
    <x v="2"/>
    <n v="8.7634006482174029E-4"/>
    <n v="0.34397163120567376"/>
    <n v="15.691489361702128"/>
    <n v="257.94229087729525"/>
    <n v="-2369"/>
    <n v="8.5593220338983045"/>
    <s v="Low ROI"/>
    <s v="#SPILL!"/>
  </r>
  <r>
    <n v="157945"/>
    <n v="3.29"/>
    <n v="5196"/>
    <n v="49.22"/>
    <n v="2557"/>
    <n v="57"/>
    <n v="1457"/>
    <n v="1310"/>
    <n v="1908670"/>
    <n v="1660543"/>
    <n v="8020"/>
    <n v="1.5"/>
    <n v="3.1"/>
    <n v="5.5"/>
    <n v="240107"/>
    <n v="2993.85"/>
    <s v="PAS"/>
    <x v="0"/>
    <x v="3"/>
    <x v="1"/>
    <x v="0"/>
    <x v="0"/>
    <n v="2.0830035771945931E-5"/>
    <n v="0.49210931485758275"/>
    <n v="1.5434949961508853"/>
    <n v="162.94189353921172"/>
    <n v="248127"/>
    <n v="236.98877805486285"/>
    <s v="High ROI"/>
    <s v="#SPILL!"/>
  </r>
  <r>
    <n v="1153"/>
    <n v="3.16"/>
    <n v="36"/>
    <n v="49.93"/>
    <n v="18"/>
    <n v="62.4"/>
    <n v="11"/>
    <n v="1360"/>
    <n v="14960"/>
    <n v="14003"/>
    <n v="18608"/>
    <n v="516.9"/>
    <n v="1033.8"/>
    <n v="1691.6"/>
    <n v="-17651"/>
    <n v="-94.86"/>
    <s v="AIDA"/>
    <x v="1"/>
    <x v="2"/>
    <x v="0"/>
    <x v="1"/>
    <x v="0"/>
    <n v="2.7406764960971378E-3"/>
    <n v="0.5"/>
    <n v="516.88888888888891"/>
    <n v="372.68175445623876"/>
    <n v="957"/>
    <n v="-0.19604471195184867"/>
    <s v="Low ROI"/>
    <s v="#SPILL!"/>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ABE670D-772E-4473-8907-1A92873A5F9E}" name="PivotTable8"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location ref="BI57:BK61" firstHeaderRow="0" firstDataRow="1" firstDataCol="1"/>
  <pivotFields count="30">
    <pivotField showAll="0"/>
    <pivotField showAll="0"/>
    <pivotField numFmtId="2" showAll="0"/>
    <pivotField showAll="0"/>
    <pivotField showAll="0"/>
    <pivotField showAll="0"/>
    <pivotField showAll="0"/>
    <pivotField showAll="0"/>
    <pivotField dataField="1" numFmtId="2" showAll="0"/>
    <pivotField showAll="0"/>
    <pivotField dataField="1" numFmtId="2" showAll="0"/>
    <pivotField showAll="0"/>
    <pivotField showAll="0"/>
    <pivotField showAll="0"/>
    <pivotField showAll="0"/>
    <pivotField showAll="0"/>
    <pivotField showAll="0"/>
    <pivotField showAll="0"/>
    <pivotField showAll="0"/>
    <pivotField axis="axisRow" showAll="0">
      <items count="4">
        <item x="1"/>
        <item x="0"/>
        <item x="2"/>
        <item t="default"/>
      </items>
    </pivotField>
    <pivotField showAll="0"/>
    <pivotField showAll="0"/>
    <pivotField numFmtId="10" showAll="0"/>
    <pivotField showAll="0"/>
    <pivotField showAll="0"/>
    <pivotField showAll="0"/>
    <pivotField showAll="0"/>
    <pivotField numFmtId="9" showAll="0"/>
    <pivotField showAll="0"/>
    <pivotField showAll="0"/>
  </pivotFields>
  <rowFields count="1">
    <field x="19"/>
  </rowFields>
  <rowItems count="4">
    <i>
      <x/>
    </i>
    <i>
      <x v="1"/>
    </i>
    <i>
      <x v="2"/>
    </i>
    <i t="grand">
      <x/>
    </i>
  </rowItems>
  <colFields count="1">
    <field x="-2"/>
  </colFields>
  <colItems count="2">
    <i>
      <x/>
    </i>
    <i i="1">
      <x v="1"/>
    </i>
  </colItems>
  <dataFields count="2">
    <dataField name="Sum of Advertising_budget" fld="10" baseField="0" baseItem="0"/>
    <dataField name="Sum of Revenue" fld="8" baseField="0" baseItem="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C614D28-84DD-4B7C-B3C0-782AD1A3372B}" name="PivotTable7"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7">
  <location ref="BA50:BC54" firstHeaderRow="0" firstDataRow="1" firstDataCol="1"/>
  <pivotFields count="30">
    <pivotField showAll="0"/>
    <pivotField showAll="0"/>
    <pivotField numFmtId="2" showAll="0"/>
    <pivotField showAll="0"/>
    <pivotField showAll="0"/>
    <pivotField showAll="0"/>
    <pivotField showAll="0"/>
    <pivotField showAll="0"/>
    <pivotField numFmtId="2" showAll="0"/>
    <pivotField showAll="0"/>
    <pivotField numFmtId="2" showAll="0"/>
    <pivotField showAll="0"/>
    <pivotField showAll="0"/>
    <pivotField showAll="0"/>
    <pivotField dataField="1" showAll="0"/>
    <pivotField dataField="1" showAll="0"/>
    <pivotField showAll="0"/>
    <pivotField showAll="0"/>
    <pivotField showAll="0"/>
    <pivotField showAll="0"/>
    <pivotField showAll="0"/>
    <pivotField axis="axisRow" showAll="0">
      <items count="4">
        <item x="2"/>
        <item x="1"/>
        <item x="0"/>
        <item t="default"/>
      </items>
    </pivotField>
    <pivotField numFmtId="10" showAll="0"/>
    <pivotField showAll="0"/>
    <pivotField showAll="0"/>
    <pivotField showAll="0"/>
    <pivotField showAll="0"/>
    <pivotField numFmtId="9" showAll="0"/>
    <pivotField showAll="0"/>
    <pivotField showAll="0"/>
  </pivotFields>
  <rowFields count="1">
    <field x="21"/>
  </rowFields>
  <rowItems count="4">
    <i>
      <x/>
    </i>
    <i>
      <x v="1"/>
    </i>
    <i>
      <x v="2"/>
    </i>
    <i t="grand">
      <x/>
    </i>
  </rowItems>
  <colFields count="1">
    <field x="-2"/>
  </colFields>
  <colItems count="2">
    <i>
      <x/>
    </i>
    <i i="1">
      <x v="1"/>
    </i>
  </colItems>
  <dataFields count="2">
    <dataField name="Sum of Net_profit" fld="14" baseField="0" baseItem="0"/>
    <dataField name="Sum of ROI" fld="15" baseField="0" baseItem="0"/>
  </dataFields>
  <chartFormats count="4">
    <chartFormat chart="13" format="0" series="1">
      <pivotArea type="data" outline="0" fieldPosition="0">
        <references count="1">
          <reference field="4294967294" count="1" selected="0">
            <x v="0"/>
          </reference>
        </references>
      </pivotArea>
    </chartFormat>
    <chartFormat chart="13" format="1" series="1">
      <pivotArea type="data" outline="0" fieldPosition="0">
        <references count="1">
          <reference field="4294967294" count="1" selected="0">
            <x v="1"/>
          </reference>
        </references>
      </pivotArea>
    </chartFormat>
    <chartFormat chart="16" format="4" series="1">
      <pivotArea type="data" outline="0" fieldPosition="0">
        <references count="1">
          <reference field="4294967294" count="1" selected="0">
            <x v="0"/>
          </reference>
        </references>
      </pivotArea>
    </chartFormat>
    <chartFormat chart="16"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AAC58D2-51B4-4420-BBF0-D291EEB8F48D}"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6">
  <location ref="AW13:AX18" firstHeaderRow="1" firstDataRow="1" firstDataCol="1"/>
  <pivotFields count="30">
    <pivotField showAll="0"/>
    <pivotField showAll="0"/>
    <pivotField numFmtId="2" showAll="0"/>
    <pivotField showAll="0"/>
    <pivotField showAll="0"/>
    <pivotField showAll="0"/>
    <pivotField showAll="0"/>
    <pivotField showAll="0"/>
    <pivotField dataField="1" numFmtId="2" showAll="0"/>
    <pivotField showAll="0"/>
    <pivotField numFmtId="2" showAll="0"/>
    <pivotField showAll="0"/>
    <pivotField showAll="0"/>
    <pivotField showAll="0"/>
    <pivotField showAll="0"/>
    <pivotField showAll="0"/>
    <pivotField showAll="0"/>
    <pivotField showAll="0"/>
    <pivotField showAll="0"/>
    <pivotField showAll="0"/>
    <pivotField axis="axisRow" showAll="0">
      <items count="5">
        <item x="0"/>
        <item x="2"/>
        <item x="1"/>
        <item x="3"/>
        <item t="default"/>
      </items>
    </pivotField>
    <pivotField showAll="0"/>
    <pivotField numFmtId="10" showAll="0"/>
    <pivotField showAll="0"/>
    <pivotField showAll="0"/>
    <pivotField showAll="0"/>
    <pivotField showAll="0"/>
    <pivotField numFmtId="9" showAll="0"/>
    <pivotField showAll="0"/>
    <pivotField showAll="0"/>
  </pivotFields>
  <rowFields count="1">
    <field x="20"/>
  </rowFields>
  <rowItems count="5">
    <i>
      <x/>
    </i>
    <i>
      <x v="1"/>
    </i>
    <i>
      <x v="2"/>
    </i>
    <i>
      <x v="3"/>
    </i>
    <i t="grand">
      <x/>
    </i>
  </rowItems>
  <colItems count="1">
    <i/>
  </colItems>
  <dataFields count="1">
    <dataField name="Sum of Revenue" fld="8" baseField="0" baseItem="0"/>
  </dataFields>
  <chartFormats count="2">
    <chartFormat chart="1"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CA81AC3-4339-49F2-872F-08F4E5333925}" name="PivotTable5"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8">
  <location ref="BG25:BI30" firstHeaderRow="0" firstDataRow="1" firstDataCol="1"/>
  <pivotFields count="30">
    <pivotField showAll="0"/>
    <pivotField showAll="0"/>
    <pivotField dataField="1" numFmtId="2" showAll="0"/>
    <pivotField showAll="0"/>
    <pivotField showAll="0"/>
    <pivotField showAll="0"/>
    <pivotField showAll="0"/>
    <pivotField showAll="0"/>
    <pivotField dataField="1" numFmtId="2" showAll="0"/>
    <pivotField showAll="0"/>
    <pivotField numFmtId="2" showAll="0"/>
    <pivotField showAll="0"/>
    <pivotField showAll="0"/>
    <pivotField showAll="0"/>
    <pivotField showAll="0"/>
    <pivotField showAll="0"/>
    <pivotField showAll="0"/>
    <pivotField axis="axisRow" showAll="0">
      <items count="5">
        <item x="3"/>
        <item x="1"/>
        <item x="0"/>
        <item x="2"/>
        <item t="default"/>
      </items>
    </pivotField>
    <pivotField showAll="0"/>
    <pivotField showAll="0"/>
    <pivotField showAll="0"/>
    <pivotField showAll="0"/>
    <pivotField numFmtId="10" showAll="0"/>
    <pivotField showAll="0"/>
    <pivotField showAll="0"/>
    <pivotField showAll="0"/>
    <pivotField showAll="0"/>
    <pivotField numFmtId="9" showAll="0"/>
    <pivotField showAll="0"/>
    <pivotField showAll="0"/>
  </pivotFields>
  <rowFields count="1">
    <field x="17"/>
  </rowFields>
  <rowItems count="5">
    <i>
      <x/>
    </i>
    <i>
      <x v="1"/>
    </i>
    <i>
      <x v="2"/>
    </i>
    <i>
      <x v="3"/>
    </i>
    <i t="grand">
      <x/>
    </i>
  </rowItems>
  <colFields count="1">
    <field x="-2"/>
  </colFields>
  <colItems count="2">
    <i>
      <x/>
    </i>
    <i i="1">
      <x v="1"/>
    </i>
  </colItems>
  <dataFields count="2">
    <dataField name="Sum of Clicks" fld="2" baseField="0" baseItem="0"/>
    <dataField name="Sum of Revenue" fld="8" baseField="0" baseItem="0"/>
  </dataFields>
  <chartFormats count="4">
    <chartFormat chart="4"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1"/>
          </reference>
        </references>
      </pivotArea>
    </chartFormat>
    <chartFormat chart="7" format="4"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23A27CE-A573-412E-9221-396A5CB0D236}" name="PivotTable4"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4">
  <location ref="AX23:BA28" firstHeaderRow="0" firstDataRow="1" firstDataCol="1"/>
  <pivotFields count="30">
    <pivotField showAll="0"/>
    <pivotField dataField="1" showAll="0"/>
    <pivotField numFmtId="2" showAll="0"/>
    <pivotField showAll="0"/>
    <pivotField showAll="0"/>
    <pivotField showAll="0"/>
    <pivotField showAll="0"/>
    <pivotField showAll="0"/>
    <pivotField dataField="1" numFmtId="2" showAll="0"/>
    <pivotField showAll="0"/>
    <pivotField numFmtId="2" showAll="0"/>
    <pivotField showAll="0"/>
    <pivotField showAll="0"/>
    <pivotField showAll="0"/>
    <pivotField showAll="0"/>
    <pivotField dataField="1" showAll="0"/>
    <pivotField showAll="0"/>
    <pivotField showAll="0"/>
    <pivotField axis="axisRow" showAll="0">
      <items count="5">
        <item x="3"/>
        <item x="0"/>
        <item x="2"/>
        <item x="1"/>
        <item t="default"/>
      </items>
    </pivotField>
    <pivotField showAll="0"/>
    <pivotField showAll="0"/>
    <pivotField showAll="0"/>
    <pivotField numFmtId="10" showAll="0"/>
    <pivotField showAll="0"/>
    <pivotField showAll="0"/>
    <pivotField showAll="0"/>
    <pivotField showAll="0"/>
    <pivotField numFmtId="9" showAll="0"/>
    <pivotField showAll="0"/>
    <pivotField showAll="0"/>
  </pivotFields>
  <rowFields count="1">
    <field x="18"/>
  </rowFields>
  <rowItems count="5">
    <i>
      <x/>
    </i>
    <i>
      <x v="1"/>
    </i>
    <i>
      <x v="2"/>
    </i>
    <i>
      <x v="3"/>
    </i>
    <i t="grand">
      <x/>
    </i>
  </rowItems>
  <colFields count="1">
    <field x="-2"/>
  </colFields>
  <colItems count="3">
    <i>
      <x/>
    </i>
    <i i="1">
      <x v="1"/>
    </i>
    <i i="2">
      <x v="2"/>
    </i>
  </colItems>
  <dataFields count="3">
    <dataField name="Sum of CTR" fld="1" baseField="0" baseItem="0"/>
    <dataField name="Sum of Revenue" fld="8" baseField="0" baseItem="0"/>
    <dataField name="Sum of ROI" fld="15" baseField="0" baseItem="0"/>
  </dataFields>
  <chartFormats count="6">
    <chartFormat chart="8"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1"/>
          </reference>
        </references>
      </pivotArea>
    </chartFormat>
    <chartFormat chart="8" format="2" series="1">
      <pivotArea type="data" outline="0" fieldPosition="0">
        <references count="1">
          <reference field="4294967294" count="1" selected="0">
            <x v="2"/>
          </reference>
        </references>
      </pivotArea>
    </chartFormat>
    <chartFormat chart="13" format="6" series="1">
      <pivotArea type="data" outline="0" fieldPosition="0">
        <references count="1">
          <reference field="4294967294" count="1" selected="0">
            <x v="0"/>
          </reference>
        </references>
      </pivotArea>
    </chartFormat>
    <chartFormat chart="13" format="7" series="1">
      <pivotArea type="data" outline="0" fieldPosition="0">
        <references count="1">
          <reference field="4294967294" count="1" selected="0">
            <x v="1"/>
          </reference>
        </references>
      </pivotArea>
    </chartFormat>
    <chartFormat chart="13"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CB53732-EC85-4DF3-92CD-1ED3AD637A4B}" name="PivotTable6"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location ref="BG39:BI44" firstHeaderRow="0" firstDataRow="1" firstDataCol="1"/>
  <pivotFields count="30">
    <pivotField showAll="0"/>
    <pivotField showAll="0"/>
    <pivotField numFmtId="2" showAll="0"/>
    <pivotField showAll="0"/>
    <pivotField dataField="1" showAll="0"/>
    <pivotField dataField="1" showAll="0"/>
    <pivotField showAll="0"/>
    <pivotField showAll="0"/>
    <pivotField numFmtId="2" showAll="0"/>
    <pivotField showAll="0"/>
    <pivotField numFmtId="2" showAll="0"/>
    <pivotField showAll="0"/>
    <pivotField showAll="0"/>
    <pivotField showAll="0"/>
    <pivotField showAll="0"/>
    <pivotField showAll="0"/>
    <pivotField showAll="0"/>
    <pivotField showAll="0"/>
    <pivotField showAll="0"/>
    <pivotField showAll="0"/>
    <pivotField axis="axisRow" showAll="0">
      <items count="5">
        <item x="0"/>
        <item x="2"/>
        <item x="1"/>
        <item x="3"/>
        <item t="default"/>
      </items>
    </pivotField>
    <pivotField showAll="0"/>
    <pivotField numFmtId="10" showAll="0"/>
    <pivotField showAll="0"/>
    <pivotField showAll="0"/>
    <pivotField showAll="0"/>
    <pivotField showAll="0"/>
    <pivotField numFmtId="9" showAll="0"/>
    <pivotField showAll="0"/>
    <pivotField showAll="0"/>
  </pivotFields>
  <rowFields count="1">
    <field x="20"/>
  </rowFields>
  <rowItems count="5">
    <i>
      <x/>
    </i>
    <i>
      <x v="1"/>
    </i>
    <i>
      <x v="2"/>
    </i>
    <i>
      <x v="3"/>
    </i>
    <i t="grand">
      <x/>
    </i>
  </rowItems>
  <colFields count="1">
    <field x="-2"/>
  </colFields>
  <colItems count="2">
    <i>
      <x/>
    </i>
    <i i="1">
      <x v="1"/>
    </i>
  </colItems>
  <dataFields count="2">
    <dataField name="Sum of Leads" fld="4" baseField="0" baseItem="0"/>
    <dataField name="Sum of Sales_conversion" fld="5" baseField="0" baseItem="0"/>
  </dataFields>
  <chartFormats count="2">
    <chartFormat chart="4"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62C5C94-A92B-40A2-9860-6FF6BF70A1E6}" name="PivotTable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5">
  <location ref="AJ23:AM27" firstHeaderRow="0" firstDataRow="1" firstDataCol="1"/>
  <pivotFields count="30">
    <pivotField showAll="0"/>
    <pivotField showAll="0"/>
    <pivotField dataField="1" numFmtId="2" showAll="0"/>
    <pivotField showAll="0"/>
    <pivotField dataField="1" showAll="0"/>
    <pivotField showAll="0"/>
    <pivotField showAll="0"/>
    <pivotField showAll="0"/>
    <pivotField dataField="1" numFmtId="2" showAll="0"/>
    <pivotField showAll="0"/>
    <pivotField numFmtId="2" showAll="0"/>
    <pivotField showAll="0"/>
    <pivotField showAll="0"/>
    <pivotField showAll="0"/>
    <pivotField showAll="0"/>
    <pivotField showAll="0"/>
    <pivotField showAll="0"/>
    <pivotField showAll="0"/>
    <pivotField showAll="0"/>
    <pivotField axis="axisRow" showAll="0">
      <items count="4">
        <item x="1"/>
        <item x="0"/>
        <item x="2"/>
        <item t="default"/>
      </items>
    </pivotField>
    <pivotField showAll="0"/>
    <pivotField showAll="0"/>
    <pivotField numFmtId="10" showAll="0"/>
    <pivotField showAll="0"/>
    <pivotField showAll="0"/>
    <pivotField showAll="0"/>
    <pivotField showAll="0"/>
    <pivotField numFmtId="9" showAll="0"/>
    <pivotField showAll="0"/>
    <pivotField showAll="0"/>
  </pivotFields>
  <rowFields count="1">
    <field x="19"/>
  </rowFields>
  <rowItems count="4">
    <i>
      <x/>
    </i>
    <i>
      <x v="1"/>
    </i>
    <i>
      <x v="2"/>
    </i>
    <i t="grand">
      <x/>
    </i>
  </rowItems>
  <colFields count="1">
    <field x="-2"/>
  </colFields>
  <colItems count="3">
    <i>
      <x/>
    </i>
    <i i="1">
      <x v="1"/>
    </i>
    <i i="2">
      <x v="2"/>
    </i>
  </colItems>
  <dataFields count="3">
    <dataField name="Sum of Clicks" fld="2" baseField="0" baseItem="0"/>
    <dataField name="Sum of Leads" fld="4" baseField="0" baseItem="0"/>
    <dataField name="Sum of Revenue" fld="8" baseField="0" baseItem="0"/>
  </dataFields>
  <chartFormats count="6">
    <chartFormat chart="21" format="0" series="1">
      <pivotArea type="data" outline="0" fieldPosition="0">
        <references count="1">
          <reference field="4294967294" count="1" selected="0">
            <x v="0"/>
          </reference>
        </references>
      </pivotArea>
    </chartFormat>
    <chartFormat chart="21" format="1" series="1">
      <pivotArea type="data" outline="0" fieldPosition="0">
        <references count="1">
          <reference field="4294967294" count="1" selected="0">
            <x v="1"/>
          </reference>
        </references>
      </pivotArea>
    </chartFormat>
    <chartFormat chart="21" format="2" series="1">
      <pivotArea type="data" outline="0" fieldPosition="0">
        <references count="1">
          <reference field="4294967294" count="1" selected="0">
            <x v="2"/>
          </reference>
        </references>
      </pivotArea>
    </chartFormat>
    <chartFormat chart="24" format="6" series="1">
      <pivotArea type="data" outline="0" fieldPosition="0">
        <references count="1">
          <reference field="4294967294" count="1" selected="0">
            <x v="0"/>
          </reference>
        </references>
      </pivotArea>
    </chartFormat>
    <chartFormat chart="24" format="7" series="1">
      <pivotArea type="data" outline="0" fieldPosition="0">
        <references count="1">
          <reference field="4294967294" count="1" selected="0">
            <x v="1"/>
          </reference>
        </references>
      </pivotArea>
    </chartFormat>
    <chartFormat chart="24"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99224000-F3AA-44C6-9A73-C0F381A1152A}" autoFormatId="16" applyNumberFormats="0" applyBorderFormats="0" applyFontFormats="0" applyPatternFormats="0" applyAlignmentFormats="0" applyWidthHeightFormats="0">
  <queryTableRefresh nextId="31" unboundColumnsRight="8">
    <queryTableFields count="30">
      <queryTableField id="1" name="Ad_Impressions" tableColumnId="1"/>
      <queryTableField id="2" name="CTR" tableColumnId="2"/>
      <queryTableField id="3" name="Clicks" tableColumnId="3"/>
      <queryTableField id="4" name="Site_Conversion" tableColumnId="4"/>
      <queryTableField id="5" name="Leads" tableColumnId="5"/>
      <queryTableField id="6" name="Sales_conversion" tableColumnId="6"/>
      <queryTableField id="7" name="Number_of_clients" tableColumnId="7"/>
      <queryTableField id="8" name="Average_check" tableColumnId="8"/>
      <queryTableField id="9" name="Revenue" tableColumnId="9"/>
      <queryTableField id="10" name="Cost_price" tableColumnId="10"/>
      <queryTableField id="11" name="Advertising_budget" tableColumnId="11"/>
      <queryTableField id="12" name="CPC" tableColumnId="12"/>
      <queryTableField id="13" name="Cost_per_lead" tableColumnId="13"/>
      <queryTableField id="14" name="Customer_price" tableColumnId="14"/>
      <queryTableField id="15" name="Net_profit" tableColumnId="15"/>
      <queryTableField id="16" name="ROI" tableColumnId="16"/>
      <queryTableField id="17" name="Selling_text_scheme" tableColumnId="17"/>
      <queryTableField id="18" name="Ad_display_time" tableColumnId="18"/>
      <queryTableField id="19" name="Targeting_type" tableColumnId="19"/>
      <queryTableField id="20" name="Advertising_placement" tableColumnId="20"/>
      <queryTableField id="21" name="User_device" tableColumnId="21"/>
      <queryTableField id="22" name="Advertising_design_method" tableColumnId="22"/>
      <queryTableField id="23" dataBound="0" tableColumnId="23"/>
      <queryTableField id="24" dataBound="0" tableColumnId="24"/>
      <queryTableField id="25" dataBound="0" tableColumnId="25"/>
      <queryTableField id="26" dataBound="0" tableColumnId="26"/>
      <queryTableField id="27" dataBound="0" tableColumnId="27"/>
      <queryTableField id="28" dataBound="0" tableColumnId="28"/>
      <queryTableField id="29" dataBound="0" tableColumnId="29"/>
      <queryTableField id="30" dataBound="0" tableColumnId="30"/>
    </queryTableFields>
  </queryTableRefresh>
</queryTable>
</file>

<file path=xl/richData/rdRichValueTypes.xml><?xml version="1.0" encoding="utf-8"?>
<rvTypesInfo xmlns="http://schemas.microsoft.com/office/spreadsheetml/2017/richdata2">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8</v>
    <v>0</v>
    <v>3</v>
  </rv>
</rvData>
</file>

<file path=xl/richData/rdrichvaluestructure.xml><?xml version="1.0" encoding="utf-8"?>
<rvStructures xmlns="http://schemas.microsoft.com/office/spreadsheetml/2017/richdata" count="1">
  <s t="_error">
    <k n="colOffset" t="i"/>
    <k n="errorType" t="i"/>
    <k n="rwOffset" t="i"/>
    <k n="subType" t="i"/>
  </s>
</rvStructure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d_display_time" xr10:uid="{CE608049-9AB2-4FB6-BBAF-1CB351CC5E24}" sourceName="Ad_display_time">
  <extLst>
    <x:ext xmlns:x15="http://schemas.microsoft.com/office/spreadsheetml/2010/11/main" uri="{2F2917AC-EB37-4324-AD4E-5DD8C200BD13}">
      <x15:tableSlicerCache tableId="1" column="18"/>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argeting_type" xr10:uid="{F6582B7F-2C79-41FE-B1BE-7EC7C328BAF6}" sourceName="Targeting_type">
  <extLst>
    <x:ext xmlns:x15="http://schemas.microsoft.com/office/spreadsheetml/2010/11/main" uri="{2F2917AC-EB37-4324-AD4E-5DD8C200BD13}">
      <x15:tableSlicerCache tableId="1" column="19"/>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dvertising_placement" xr10:uid="{C375078E-B7AA-4F83-A9CC-426D85968CA3}" sourceName="Advertising_placement">
  <extLst>
    <x:ext xmlns:x15="http://schemas.microsoft.com/office/spreadsheetml/2010/11/main" uri="{2F2917AC-EB37-4324-AD4E-5DD8C200BD13}">
      <x15:tableSlicerCache tableId="1" column="20"/>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User_device" xr10:uid="{CC1640F2-EF44-4B02-A732-6F5A8E0A23B1}" sourceName="User_device">
  <extLst>
    <x:ext xmlns:x15="http://schemas.microsoft.com/office/spreadsheetml/2010/11/main" uri="{2F2917AC-EB37-4324-AD4E-5DD8C200BD13}">
      <x15:tableSlicerCache tableId="1" column="21"/>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d_display_time" xr10:uid="{F661B2EC-81C8-4CBA-B9AD-4D0AAE519A5C}" cache="Slicer_Ad_display_time" caption="Ad_display_time" rowHeight="234950"/>
  <slicer name="Targeting_type" xr10:uid="{7D783CF9-2527-4DA2-9A4F-187F505D3B61}" cache="Slicer_Targeting_type" caption="Targeting_type" rowHeight="234950"/>
  <slicer name="Advertising_placement" xr10:uid="{5B1E1564-B7C7-4AC2-9567-812D552B9ABF}" cache="Slicer_Advertising_placement" caption="Advertising_placement" rowHeight="234950"/>
  <slicer name="User_device" xr10:uid="{D365B383-EB74-4CC4-922E-15B1B48E70A1}" cache="Slicer_User_device" caption="User_device"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d_display_time 1" xr10:uid="{25FF27E9-BDA5-4F65-BEB3-786576590ED5}" cache="Slicer_Ad_display_time" caption="Ad_display_time" rowHeight="234950"/>
  <slicer name="Targeting_type 1" xr10:uid="{56DF2F32-037A-4F45-84FC-C6E2E1385EF8}" cache="Slicer_Targeting_type" caption="Targeting_type" rowHeight="234950"/>
  <slicer name="Advertising_placement 1" xr10:uid="{42373825-C290-4633-B062-50F1E1ADBAEF}" cache="Slicer_Advertising_placement" caption="Advertising_placement" rowHeight="234950"/>
  <slicer name="User_device 1" xr10:uid="{49AD6DB4-21CA-47EA-89FE-3D7B4519332C}" cache="Slicer_User_device" caption="User_device"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2880168-AADE-400F-8C22-1A57C27983D8}" name="Marketing_data" displayName="Marketing_data" ref="A1:AD101" tableType="queryTable" totalsRowShown="0">
  <autoFilter ref="A1:AD101" xr:uid="{82880168-AADE-400F-8C22-1A57C27983D8}"/>
  <tableColumns count="30">
    <tableColumn id="1" xr3:uid="{98879FF8-9B17-4A82-B920-C1DFD5167CB3}" uniqueName="1" name="Ad_Impressions" queryTableFieldId="1"/>
    <tableColumn id="2" xr3:uid="{942C19B3-432B-41C6-9B6C-938AE84D908F}" uniqueName="2" name="CTR" queryTableFieldId="2"/>
    <tableColumn id="3" xr3:uid="{42E293FE-CF32-4CD0-979C-1C5970C3D274}" uniqueName="3" name="Clicks" queryTableFieldId="3" dataDxfId="15"/>
    <tableColumn id="4" xr3:uid="{933FEF83-5851-49A1-B7D1-11435DBBEB04}" uniqueName="4" name="Site_Conversion" queryTableFieldId="4"/>
    <tableColumn id="5" xr3:uid="{FAA36340-EB22-43DC-98C0-850F295C04AD}" uniqueName="5" name="Leads" queryTableFieldId="5"/>
    <tableColumn id="6" xr3:uid="{FFAAAC07-2297-4C7D-A177-371EDD4E48A6}" uniqueName="6" name="Sales_conversion" queryTableFieldId="6"/>
    <tableColumn id="7" xr3:uid="{997965DE-DDF4-4C4F-A3E0-BACEEB0B0A1E}" uniqueName="7" name="Number_of_clients" queryTableFieldId="7"/>
    <tableColumn id="8" xr3:uid="{D0A36420-2A49-4669-96AC-437FAF6827DA}" uniqueName="8" name="Average_check" queryTableFieldId="8"/>
    <tableColumn id="9" xr3:uid="{1B5F27EE-BF01-4C3A-895E-EE72AFD291F0}" uniqueName="9" name="Revenue" queryTableFieldId="9" dataDxfId="14"/>
    <tableColumn id="10" xr3:uid="{B42D6965-44BF-4D81-97B3-08422D0898AB}" uniqueName="10" name="Cost_price" queryTableFieldId="10"/>
    <tableColumn id="11" xr3:uid="{2F6D0D84-6375-4575-98EF-10E1FE07F8C8}" uniqueName="11" name="Advertising_budget" queryTableFieldId="11" dataDxfId="13"/>
    <tableColumn id="12" xr3:uid="{05818ABF-8EFE-43C2-8AC1-6D7124DD684C}" uniqueName="12" name="CPC" queryTableFieldId="12"/>
    <tableColumn id="13" xr3:uid="{E682BF4A-4335-4349-8D48-FD6C301926C4}" uniqueName="13" name="Cost_per_lead" queryTableFieldId="13"/>
    <tableColumn id="14" xr3:uid="{83788A7D-9A18-4564-9968-ADA9DE6131EC}" uniqueName="14" name="Customer_price" queryTableFieldId="14"/>
    <tableColumn id="15" xr3:uid="{D68F1F5B-F635-42B2-88BE-4313E34D4060}" uniqueName="15" name="Net_profit" queryTableFieldId="15"/>
    <tableColumn id="16" xr3:uid="{FA5CB3FA-DE73-44AB-86F9-83CE0F36F67B}" uniqueName="16" name="ROI" queryTableFieldId="16"/>
    <tableColumn id="17" xr3:uid="{33A56A0E-ECD9-4433-A851-057384E966CD}" uniqueName="17" name="Selling_text_scheme" queryTableFieldId="17" dataDxfId="12"/>
    <tableColumn id="18" xr3:uid="{3C952F60-7F8C-48AE-93CB-6DE69F43D253}" uniqueName="18" name="Ad_display_time" queryTableFieldId="18" dataDxfId="11"/>
    <tableColumn id="19" xr3:uid="{14EB66CE-3044-43D5-9330-16E44D6B98A6}" uniqueName="19" name="Targeting_type" queryTableFieldId="19" dataDxfId="10"/>
    <tableColumn id="20" xr3:uid="{B7962149-6839-4D9B-A8B5-D64B5126037F}" uniqueName="20" name="Advertising_placement" queryTableFieldId="20" dataDxfId="9"/>
    <tableColumn id="21" xr3:uid="{3601002C-60BB-4937-BDB2-D0ACFED18CAD}" uniqueName="21" name="User_device" queryTableFieldId="21" dataDxfId="8"/>
    <tableColumn id="22" xr3:uid="{D4010E28-F8C3-454F-BB41-482D5F78FA9F}" uniqueName="22" name="Advertising_design_method" queryTableFieldId="22" dataDxfId="7"/>
    <tableColumn id="23" xr3:uid="{EF3D6E38-63D0-47B9-8112-97D81DAE402E}" uniqueName="23" name="CTR (Click Through Rate)" queryTableFieldId="23" dataDxfId="6">
      <calculatedColumnFormula>B2/A2</calculatedColumnFormula>
    </tableColumn>
    <tableColumn id="24" xr3:uid="{B19D787B-3594-4A2F-B8F0-E80B9E96728F}" uniqueName="24" name="CTR (Click Through Rate)2" queryTableFieldId="24" dataDxfId="5">
      <calculatedColumnFormula>E2/C2</calculatedColumnFormula>
    </tableColumn>
    <tableColumn id="25" xr3:uid="{466F43FA-90F1-4BDE-8EB5-CBDCF6F62B7A}" uniqueName="25" name="Cost Per Click" queryTableFieldId="25" dataDxfId="4">
      <calculatedColumnFormula>K2/C2</calculatedColumnFormula>
    </tableColumn>
    <tableColumn id="26" xr3:uid="{DE019F8B-856D-45CF-84D5-8952DF261902}" uniqueName="26" name="Cost Per Lead" queryTableFieldId="26" dataDxfId="3">
      <calculatedColumnFormula>K2/D2</calculatedColumnFormula>
    </tableColumn>
    <tableColumn id="27" xr3:uid="{B59F76FB-4B08-45E0-94F2-573E5F6FA228}" uniqueName="27" name="Profit" queryTableFieldId="27" dataDxfId="2" dataCellStyle="Currency">
      <calculatedColumnFormula>I2-J2</calculatedColumnFormula>
    </tableColumn>
    <tableColumn id="28" xr3:uid="{DCB626AC-AF7B-4711-8F19-F94A5920210F}" uniqueName="28" name="ROI2" queryTableFieldId="28" dataCellStyle="Percent">
      <calculatedColumnFormula>(I2-K2)/K2</calculatedColumnFormula>
    </tableColumn>
    <tableColumn id="29" xr3:uid="{FD913CD3-E5EB-4D37-848E-A6022B46D65A}" uniqueName="29" name="ROI3" queryTableFieldId="29" dataDxfId="1">
      <calculatedColumnFormula>IF(Marketing_data[[#This Row],[ROI]]&gt;0.3,"High ROI","Low ROI")</calculatedColumnFormula>
    </tableColumn>
    <tableColumn id="30" xr3:uid="{83E9DF74-4B65-41E7-895D-6CADB2B24733}" uniqueName="30" name="ROI4" queryTableFieldId="30" dataDxfId="0">
      <calculatedColumnFormula array="1">_xlfn.IFS(P:P&gt;0.5,"Excellent",
ROI&gt;0.3,"Good",
ROI&gt;0.1,"Average",
TRUE,"Poor")</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microsoft.com/office/2007/relationships/slicer" Target="../slicers/slicer1.xml"/><Relationship Id="rId4" Type="http://schemas.openxmlformats.org/officeDocument/2006/relationships/pivotTable" Target="../pivotTables/pivotTable4.xml"/><Relationship Id="rId9"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D515D0-A333-4FB9-AEF4-2E3E6C7FF8BC}">
  <dimension ref="A1:BK101"/>
  <sheetViews>
    <sheetView workbookViewId="0">
      <selection activeCell="B102" sqref="B102"/>
    </sheetView>
  </sheetViews>
  <sheetFormatPr defaultRowHeight="14.4" x14ac:dyDescent="0.3"/>
  <cols>
    <col min="1" max="1" width="16.6640625" bestFit="1" customWidth="1"/>
    <col min="2" max="2" width="6.44140625" bestFit="1" customWidth="1"/>
    <col min="3" max="3" width="8.5546875" style="1" bestFit="1" customWidth="1"/>
    <col min="4" max="4" width="16.88671875" bestFit="1" customWidth="1"/>
    <col min="5" max="5" width="8" bestFit="1" customWidth="1"/>
    <col min="6" max="6" width="17.77734375" bestFit="1" customWidth="1"/>
    <col min="7" max="7" width="19.44140625" bestFit="1" customWidth="1"/>
    <col min="8" max="8" width="16.109375" bestFit="1" customWidth="1"/>
    <col min="9" max="9" width="10.5546875" style="1" bestFit="1" customWidth="1"/>
    <col min="10" max="10" width="12" bestFit="1" customWidth="1"/>
    <col min="11" max="11" width="19.88671875" style="1" bestFit="1" customWidth="1"/>
    <col min="12" max="12" width="6.5546875" bestFit="1" customWidth="1"/>
    <col min="13" max="13" width="15.33203125" bestFit="1" customWidth="1"/>
    <col min="14" max="14" width="16.5546875" bestFit="1" customWidth="1"/>
    <col min="15" max="15" width="11.88671875" bestFit="1" customWidth="1"/>
    <col min="16" max="16" width="8.6640625" bestFit="1" customWidth="1"/>
    <col min="17" max="17" width="20.5546875" bestFit="1" customWidth="1"/>
    <col min="18" max="18" width="17.33203125" bestFit="1" customWidth="1"/>
    <col min="19" max="19" width="16" bestFit="1" customWidth="1"/>
    <col min="20" max="20" width="22.77734375" bestFit="1" customWidth="1"/>
    <col min="21" max="21" width="13.44140625" bestFit="1" customWidth="1"/>
    <col min="22" max="22" width="27.109375" bestFit="1" customWidth="1"/>
    <col min="23" max="23" width="8.88671875" style="2"/>
    <col min="27" max="27" width="12.6640625" style="4" bestFit="1" customWidth="1"/>
    <col min="28" max="28" width="8.88671875" style="3"/>
    <col min="36" max="36" width="12.5546875" bestFit="1" customWidth="1"/>
    <col min="37" max="37" width="12.109375" bestFit="1" customWidth="1"/>
    <col min="38" max="38" width="12.21875" bestFit="1" customWidth="1"/>
    <col min="39" max="39" width="14.88671875" bestFit="1" customWidth="1"/>
    <col min="49" max="49" width="12.5546875" bestFit="1" customWidth="1"/>
    <col min="50" max="50" width="14.88671875" bestFit="1" customWidth="1"/>
    <col min="51" max="51" width="10.6640625" bestFit="1" customWidth="1"/>
    <col min="52" max="52" width="14.88671875" bestFit="1" customWidth="1"/>
    <col min="53" max="53" width="12.5546875" bestFit="1" customWidth="1"/>
    <col min="54" max="54" width="16.21875" bestFit="1" customWidth="1"/>
    <col min="55" max="55" width="10.44140625" bestFit="1" customWidth="1"/>
    <col min="59" max="59" width="12.5546875" bestFit="1" customWidth="1"/>
    <col min="60" max="60" width="12.21875" bestFit="1" customWidth="1"/>
    <col min="61" max="61" width="12.5546875" bestFit="1" customWidth="1"/>
    <col min="62" max="62" width="24.21875" bestFit="1" customWidth="1"/>
    <col min="63" max="63" width="14.88671875" bestFit="1" customWidth="1"/>
  </cols>
  <sheetData>
    <row r="1" spans="1:55" x14ac:dyDescent="0.3">
      <c r="A1" t="s">
        <v>0</v>
      </c>
      <c r="B1" t="s">
        <v>1</v>
      </c>
      <c r="C1" s="1" t="s">
        <v>2</v>
      </c>
      <c r="D1" t="s">
        <v>3</v>
      </c>
      <c r="E1" t="s">
        <v>4</v>
      </c>
      <c r="F1" t="s">
        <v>5</v>
      </c>
      <c r="G1" t="s">
        <v>6</v>
      </c>
      <c r="H1" t="s">
        <v>7</v>
      </c>
      <c r="I1" s="1" t="s">
        <v>8</v>
      </c>
      <c r="J1" t="s">
        <v>9</v>
      </c>
      <c r="K1" s="1" t="s">
        <v>10</v>
      </c>
      <c r="L1" t="s">
        <v>11</v>
      </c>
      <c r="M1" t="s">
        <v>12</v>
      </c>
      <c r="N1" t="s">
        <v>13</v>
      </c>
      <c r="O1" t="s">
        <v>14</v>
      </c>
      <c r="P1" t="s">
        <v>15</v>
      </c>
      <c r="Q1" t="s">
        <v>16</v>
      </c>
      <c r="R1" t="s">
        <v>17</v>
      </c>
      <c r="S1" t="s">
        <v>18</v>
      </c>
      <c r="T1" t="s">
        <v>19</v>
      </c>
      <c r="U1" t="s">
        <v>20</v>
      </c>
      <c r="V1" t="s">
        <v>21</v>
      </c>
      <c r="W1" s="2" t="s">
        <v>44</v>
      </c>
      <c r="X1" t="s">
        <v>45</v>
      </c>
      <c r="Y1" t="s">
        <v>46</v>
      </c>
      <c r="Z1" t="s">
        <v>47</v>
      </c>
      <c r="AA1" s="4" t="s">
        <v>48</v>
      </c>
      <c r="AB1" s="3" t="s">
        <v>49</v>
      </c>
      <c r="AC1" t="s">
        <v>54</v>
      </c>
      <c r="AD1" t="s">
        <v>55</v>
      </c>
    </row>
    <row r="2" spans="1:55" x14ac:dyDescent="0.3">
      <c r="A2">
        <v>38949</v>
      </c>
      <c r="B2">
        <v>5.7</v>
      </c>
      <c r="C2" s="1">
        <v>2220</v>
      </c>
      <c r="D2">
        <v>53.65</v>
      </c>
      <c r="E2">
        <v>1191</v>
      </c>
      <c r="F2">
        <v>72.7</v>
      </c>
      <c r="G2">
        <v>866</v>
      </c>
      <c r="H2">
        <v>900</v>
      </c>
      <c r="I2" s="1">
        <v>779400</v>
      </c>
      <c r="J2">
        <v>524536</v>
      </c>
      <c r="K2" s="1">
        <v>16055</v>
      </c>
      <c r="L2">
        <v>7.2</v>
      </c>
      <c r="M2">
        <v>13.5</v>
      </c>
      <c r="N2">
        <v>18.5</v>
      </c>
      <c r="O2">
        <v>238809</v>
      </c>
      <c r="P2">
        <v>1487.44</v>
      </c>
      <c r="Q2" t="s">
        <v>22</v>
      </c>
      <c r="R2" t="s">
        <v>27</v>
      </c>
      <c r="S2" t="s">
        <v>30</v>
      </c>
      <c r="T2" t="s">
        <v>34</v>
      </c>
      <c r="U2" t="s">
        <v>37</v>
      </c>
      <c r="V2" t="s">
        <v>41</v>
      </c>
      <c r="W2" s="2">
        <f>B2/A2</f>
        <v>1.4634522067318801E-4</v>
      </c>
      <c r="X2">
        <f>E2/C2</f>
        <v>0.53648648648648645</v>
      </c>
      <c r="Y2">
        <f>K2/C2</f>
        <v>7.2319819819819822</v>
      </c>
      <c r="Z2">
        <f>K2/D2</f>
        <v>299.25442684063376</v>
      </c>
      <c r="AA2" s="4">
        <f t="shared" ref="AA2:AA33" si="0">I2-J2</f>
        <v>254864</v>
      </c>
      <c r="AB2" s="3">
        <f>(I2-K2)/K2</f>
        <v>47.545624416069764</v>
      </c>
      <c r="AC2" t="str">
        <f>IF(Marketing_data[[#This Row],[ROI]]&gt;0.3,"High ROI","Low ROI")</f>
        <v>High ROI</v>
      </c>
      <c r="AD2" t="e" cm="1" vm="1">
        <f t="array" aca="1" ref="AD2" ca="1">_xlfn.IFS(P:P&gt;0.5,"Excellent",
ROI&gt;0.3,"Good",
ROI&gt;0.1,"Average",
TRUE,"Poor")</f>
        <v>#VALUE!</v>
      </c>
    </row>
    <row r="3" spans="1:55" x14ac:dyDescent="0.3">
      <c r="A3">
        <v>5014</v>
      </c>
      <c r="B3">
        <v>4.53</v>
      </c>
      <c r="C3" s="1">
        <v>227</v>
      </c>
      <c r="D3">
        <v>39.770000000000003</v>
      </c>
      <c r="E3">
        <v>90</v>
      </c>
      <c r="F3">
        <v>61.9</v>
      </c>
      <c r="G3">
        <v>56</v>
      </c>
      <c r="H3">
        <v>1140</v>
      </c>
      <c r="I3" s="1">
        <v>63840</v>
      </c>
      <c r="J3">
        <v>60712</v>
      </c>
      <c r="K3" s="1">
        <v>19572</v>
      </c>
      <c r="L3">
        <v>86.2</v>
      </c>
      <c r="M3">
        <v>217.5</v>
      </c>
      <c r="N3">
        <v>349.5</v>
      </c>
      <c r="O3">
        <v>-16444</v>
      </c>
      <c r="P3">
        <v>-84.02</v>
      </c>
      <c r="Q3" t="s">
        <v>23</v>
      </c>
      <c r="R3" t="s">
        <v>27</v>
      </c>
      <c r="S3" t="s">
        <v>31</v>
      </c>
      <c r="T3" t="s">
        <v>34</v>
      </c>
      <c r="U3" t="s">
        <v>37</v>
      </c>
      <c r="V3" t="s">
        <v>41</v>
      </c>
      <c r="W3" s="2">
        <f t="shared" ref="W3:W33" si="1">B3/A3</f>
        <v>9.0347028320702041E-4</v>
      </c>
      <c r="X3">
        <f t="shared" ref="X3:X33" si="2">E3/C3</f>
        <v>0.3964757709251101</v>
      </c>
      <c r="Y3">
        <f t="shared" ref="Y3:Y33" si="3">K3/C3</f>
        <v>86.220264317180622</v>
      </c>
      <c r="Z3">
        <f t="shared" ref="Z3:Z33" si="4">K3/D3</f>
        <v>492.12974603972839</v>
      </c>
      <c r="AA3" s="4">
        <f t="shared" si="0"/>
        <v>3128</v>
      </c>
      <c r="AB3" s="3">
        <f t="shared" ref="AB3:AB33" si="5">(I3-K3)/K3</f>
        <v>2.2618025751072963</v>
      </c>
      <c r="AC3" t="str">
        <f>IF(Marketing_data[[#This Row],[ROI]]&gt;0.3,"High ROI","Low ROI")</f>
        <v>Low ROI</v>
      </c>
      <c r="AD3" t="e" cm="1" vm="1">
        <f t="array" aca="1" ref="AD3" ca="1">_xlfn.IFS(P:P&gt;0.5,"Excellent",
ROI&gt;0.3,"Good",
ROI&gt;0.1,"Average",
TRUE,"Poor")</f>
        <v>#VALUE!</v>
      </c>
    </row>
    <row r="4" spans="1:55" x14ac:dyDescent="0.3">
      <c r="A4">
        <v>31257</v>
      </c>
      <c r="B4">
        <v>4.3899999999999997</v>
      </c>
      <c r="C4" s="1">
        <v>1372</v>
      </c>
      <c r="D4">
        <v>16.37</v>
      </c>
      <c r="E4">
        <v>225</v>
      </c>
      <c r="F4">
        <v>62.6</v>
      </c>
      <c r="G4">
        <v>141</v>
      </c>
      <c r="H4">
        <v>1230</v>
      </c>
      <c r="I4" s="1">
        <v>173430</v>
      </c>
      <c r="J4">
        <v>146375</v>
      </c>
      <c r="K4" s="1">
        <v>9792</v>
      </c>
      <c r="L4">
        <v>7.1</v>
      </c>
      <c r="M4">
        <v>43.5</v>
      </c>
      <c r="N4">
        <v>69.400000000000006</v>
      </c>
      <c r="O4">
        <v>17263</v>
      </c>
      <c r="P4">
        <v>176.3</v>
      </c>
      <c r="Q4" t="s">
        <v>24</v>
      </c>
      <c r="R4" t="s">
        <v>29</v>
      </c>
      <c r="S4" t="s">
        <v>31</v>
      </c>
      <c r="T4" t="s">
        <v>35</v>
      </c>
      <c r="U4" t="s">
        <v>38</v>
      </c>
      <c r="V4" t="s">
        <v>42</v>
      </c>
      <c r="W4" s="2">
        <f t="shared" si="1"/>
        <v>1.4044853952714591E-4</v>
      </c>
      <c r="X4">
        <f t="shared" si="2"/>
        <v>0.16399416909620992</v>
      </c>
      <c r="Y4">
        <f t="shared" si="3"/>
        <v>7.1370262390670556</v>
      </c>
      <c r="Z4">
        <f t="shared" si="4"/>
        <v>598.16737935247397</v>
      </c>
      <c r="AA4" s="4">
        <f t="shared" si="0"/>
        <v>27055</v>
      </c>
      <c r="AB4" s="3">
        <f t="shared" si="5"/>
        <v>16.711397058823529</v>
      </c>
      <c r="AC4" t="str">
        <f>IF(Marketing_data[[#This Row],[ROI]]&gt;0.3,"High ROI","Low ROI")</f>
        <v>High ROI</v>
      </c>
      <c r="AD4" t="e" cm="1" vm="1">
        <f t="array" aca="1" ref="AD4" ca="1">_xlfn.IFS(P:P&gt;0.5,"Excellent",
ROI&gt;0.3,"Good",
ROI&gt;0.1,"Average",
TRUE,"Poor")</f>
        <v>#VALUE!</v>
      </c>
    </row>
    <row r="5" spans="1:55" x14ac:dyDescent="0.3">
      <c r="A5">
        <v>1212</v>
      </c>
      <c r="B5">
        <v>5.37</v>
      </c>
      <c r="C5" s="1">
        <v>65</v>
      </c>
      <c r="D5">
        <v>53.74</v>
      </c>
      <c r="E5">
        <v>35</v>
      </c>
      <c r="F5">
        <v>61.7</v>
      </c>
      <c r="G5">
        <v>22</v>
      </c>
      <c r="H5">
        <v>1460</v>
      </c>
      <c r="I5" s="1">
        <v>32120</v>
      </c>
      <c r="J5">
        <v>25150</v>
      </c>
      <c r="K5" s="1">
        <v>13610</v>
      </c>
      <c r="L5">
        <v>209.4</v>
      </c>
      <c r="M5">
        <v>388.9</v>
      </c>
      <c r="N5">
        <v>618.6</v>
      </c>
      <c r="O5">
        <v>-6640</v>
      </c>
      <c r="P5">
        <v>-48.79</v>
      </c>
      <c r="Q5" t="s">
        <v>25</v>
      </c>
      <c r="R5" t="s">
        <v>26</v>
      </c>
      <c r="S5" t="s">
        <v>32</v>
      </c>
      <c r="T5" t="s">
        <v>36</v>
      </c>
      <c r="U5" t="s">
        <v>37</v>
      </c>
      <c r="V5" t="s">
        <v>43</v>
      </c>
      <c r="W5" s="2">
        <f t="shared" si="1"/>
        <v>4.4306930693069312E-3</v>
      </c>
      <c r="X5">
        <f t="shared" si="2"/>
        <v>0.53846153846153844</v>
      </c>
      <c r="Y5">
        <f t="shared" si="3"/>
        <v>209.38461538461539</v>
      </c>
      <c r="Z5">
        <f t="shared" si="4"/>
        <v>253.25641979903236</v>
      </c>
      <c r="AA5" s="4">
        <f t="shared" si="0"/>
        <v>6970</v>
      </c>
      <c r="AB5" s="3">
        <f t="shared" si="5"/>
        <v>1.3600293901542984</v>
      </c>
      <c r="AC5" t="str">
        <f>IF(Marketing_data[[#This Row],[ROI]]&gt;0.3,"High ROI","Low ROI")</f>
        <v>Low ROI</v>
      </c>
      <c r="AD5" t="e" cm="1" vm="1">
        <f t="array" aca="1" ref="AD5" ca="1">_xlfn.IFS(P:P&gt;0.5,"Excellent",
ROI&gt;0.3,"Good",
ROI&gt;0.1,"Average",
TRUE,"Poor")</f>
        <v>#VALUE!</v>
      </c>
      <c r="BB5" t="s">
        <v>67</v>
      </c>
      <c r="BC5" s="1">
        <f>SUM(I:I)</f>
        <v>54774990</v>
      </c>
    </row>
    <row r="6" spans="1:55" x14ac:dyDescent="0.3">
      <c r="A6">
        <v>1249</v>
      </c>
      <c r="B6">
        <v>3.29</v>
      </c>
      <c r="C6" s="1">
        <v>41</v>
      </c>
      <c r="D6">
        <v>22.5</v>
      </c>
      <c r="E6">
        <v>9</v>
      </c>
      <c r="F6">
        <v>79.099999999999994</v>
      </c>
      <c r="G6">
        <v>7</v>
      </c>
      <c r="H6">
        <v>1230</v>
      </c>
      <c r="I6" s="1">
        <v>8610</v>
      </c>
      <c r="J6">
        <v>5760</v>
      </c>
      <c r="K6" s="1">
        <v>7252</v>
      </c>
      <c r="L6">
        <v>176.9</v>
      </c>
      <c r="M6">
        <v>805.8</v>
      </c>
      <c r="N6">
        <v>1036</v>
      </c>
      <c r="O6">
        <v>-4402</v>
      </c>
      <c r="P6">
        <v>-60.7</v>
      </c>
      <c r="Q6" t="s">
        <v>23</v>
      </c>
      <c r="R6" t="s">
        <v>26</v>
      </c>
      <c r="S6" t="s">
        <v>31</v>
      </c>
      <c r="T6" t="s">
        <v>34</v>
      </c>
      <c r="U6" t="s">
        <v>40</v>
      </c>
      <c r="V6" t="s">
        <v>41</v>
      </c>
      <c r="W6" s="2">
        <f t="shared" si="1"/>
        <v>2.6341072858286629E-3</v>
      </c>
      <c r="X6">
        <f t="shared" si="2"/>
        <v>0.21951219512195122</v>
      </c>
      <c r="Y6">
        <f t="shared" si="3"/>
        <v>176.8780487804878</v>
      </c>
      <c r="Z6">
        <f t="shared" si="4"/>
        <v>322.31111111111113</v>
      </c>
      <c r="AA6" s="4">
        <f t="shared" si="0"/>
        <v>2850</v>
      </c>
      <c r="AB6" s="3">
        <f t="shared" si="5"/>
        <v>0.18725868725868725</v>
      </c>
      <c r="AC6" t="str">
        <f>IF(Marketing_data[[#This Row],[ROI]]&gt;0.3,"High ROI","Low ROI")</f>
        <v>Low ROI</v>
      </c>
      <c r="AD6" t="e" cm="1" vm="1">
        <f t="array" aca="1" ref="AD6" ca="1">_xlfn.IFS(P:P&gt;0.5,"Excellent",
ROI&gt;0.3,"Good",
ROI&gt;0.1,"Average",
TRUE,"Poor")</f>
        <v>#VALUE!</v>
      </c>
      <c r="BB6" t="s">
        <v>68</v>
      </c>
      <c r="BC6" s="1">
        <f>SUM(C:C)</f>
        <v>199030</v>
      </c>
    </row>
    <row r="7" spans="1:55" x14ac:dyDescent="0.3">
      <c r="A7">
        <v>104820</v>
      </c>
      <c r="B7">
        <v>3.94</v>
      </c>
      <c r="C7" s="1">
        <v>4130</v>
      </c>
      <c r="D7">
        <v>37.119999999999997</v>
      </c>
      <c r="E7">
        <v>1533</v>
      </c>
      <c r="F7">
        <v>65.8</v>
      </c>
      <c r="G7">
        <v>1009</v>
      </c>
      <c r="H7">
        <v>960</v>
      </c>
      <c r="I7" s="1">
        <v>968640</v>
      </c>
      <c r="J7">
        <v>815595</v>
      </c>
      <c r="K7" s="1">
        <v>17697</v>
      </c>
      <c r="L7">
        <v>4.3</v>
      </c>
      <c r="M7">
        <v>11.5</v>
      </c>
      <c r="N7">
        <v>17.5</v>
      </c>
      <c r="O7">
        <v>135348</v>
      </c>
      <c r="P7">
        <v>764.81</v>
      </c>
      <c r="Q7" t="s">
        <v>24</v>
      </c>
      <c r="R7" t="s">
        <v>26</v>
      </c>
      <c r="S7" t="s">
        <v>30</v>
      </c>
      <c r="T7" t="s">
        <v>34</v>
      </c>
      <c r="U7" t="s">
        <v>39</v>
      </c>
      <c r="V7" t="s">
        <v>41</v>
      </c>
      <c r="W7" s="2">
        <f t="shared" si="1"/>
        <v>3.7588246517840104E-5</v>
      </c>
      <c r="X7">
        <f t="shared" si="2"/>
        <v>0.37118644067796608</v>
      </c>
      <c r="Y7">
        <f t="shared" si="3"/>
        <v>4.2849878934624694</v>
      </c>
      <c r="Z7">
        <f t="shared" si="4"/>
        <v>476.75107758620692</v>
      </c>
      <c r="AA7" s="4">
        <f t="shared" si="0"/>
        <v>153045</v>
      </c>
      <c r="AB7" s="3">
        <f t="shared" si="5"/>
        <v>53.734700796745209</v>
      </c>
      <c r="AC7" t="str">
        <f>IF(Marketing_data[[#This Row],[ROI]]&gt;0.3,"High ROI","Low ROI")</f>
        <v>High ROI</v>
      </c>
      <c r="AD7" t="e" cm="1" vm="1">
        <f t="array" aca="1" ref="AD7" ca="1">_xlfn.IFS(P:P&gt;0.5,"Excellent",
ROI&gt;0.3,"Good",
ROI&gt;0.1,"Average",
TRUE,"Poor")</f>
        <v>#VALUE!</v>
      </c>
      <c r="AF7" t="s">
        <v>50</v>
      </c>
      <c r="AH7">
        <f>VLOOKUP(A2,$A$2:$I$100,9,FALSE)</f>
        <v>779400</v>
      </c>
      <c r="BB7" t="s">
        <v>69</v>
      </c>
      <c r="BC7">
        <f>SUM(E:E)</f>
        <v>62616</v>
      </c>
    </row>
    <row r="8" spans="1:55" x14ac:dyDescent="0.3">
      <c r="A8">
        <v>3072</v>
      </c>
      <c r="B8">
        <v>3.6</v>
      </c>
      <c r="C8" s="1">
        <v>111</v>
      </c>
      <c r="D8">
        <v>37.869999999999997</v>
      </c>
      <c r="E8">
        <v>42</v>
      </c>
      <c r="F8">
        <v>70.900000000000006</v>
      </c>
      <c r="G8">
        <v>30</v>
      </c>
      <c r="H8">
        <v>1270</v>
      </c>
      <c r="I8" s="1">
        <v>38100</v>
      </c>
      <c r="J8">
        <v>32042</v>
      </c>
      <c r="K8" s="1">
        <v>9730</v>
      </c>
      <c r="L8">
        <v>87.7</v>
      </c>
      <c r="M8">
        <v>231.7</v>
      </c>
      <c r="N8">
        <v>324.3</v>
      </c>
      <c r="O8">
        <v>-3672</v>
      </c>
      <c r="P8">
        <v>-37.74</v>
      </c>
      <c r="Q8" t="s">
        <v>24</v>
      </c>
      <c r="R8" t="s">
        <v>27</v>
      </c>
      <c r="S8" t="s">
        <v>32</v>
      </c>
      <c r="T8" t="s">
        <v>34</v>
      </c>
      <c r="U8" t="s">
        <v>40</v>
      </c>
      <c r="V8" t="s">
        <v>42</v>
      </c>
      <c r="W8" s="2">
        <f t="shared" si="1"/>
        <v>1.171875E-3</v>
      </c>
      <c r="X8">
        <f t="shared" si="2"/>
        <v>0.3783783783783784</v>
      </c>
      <c r="Y8">
        <f t="shared" si="3"/>
        <v>87.657657657657651</v>
      </c>
      <c r="Z8">
        <f t="shared" si="4"/>
        <v>256.93160813308691</v>
      </c>
      <c r="AA8" s="4">
        <f t="shared" si="0"/>
        <v>6058</v>
      </c>
      <c r="AB8" s="3">
        <f t="shared" si="5"/>
        <v>2.9157245632065778</v>
      </c>
      <c r="AC8" t="str">
        <f>IF(Marketing_data[[#This Row],[ROI]]&gt;0.3,"High ROI","Low ROI")</f>
        <v>Low ROI</v>
      </c>
      <c r="AD8" t="e" cm="1" vm="1">
        <f t="array" aca="1" ref="AD8" ca="1">_xlfn.IFS(P:P&gt;0.5,"Excellent",
ROI&gt;0.3,"Good",
ROI&gt;0.1,"Average",
TRUE,"Poor")</f>
        <v>#VALUE!</v>
      </c>
      <c r="AF8" t="s">
        <v>51</v>
      </c>
      <c r="AH8">
        <f>HLOOKUP("Revenue",A1:I5,2,FALSE)</f>
        <v>779400</v>
      </c>
      <c r="BB8" t="s">
        <v>70</v>
      </c>
      <c r="BC8">
        <f>AVERAGE(P:P)</f>
        <v>253.4274999999999</v>
      </c>
    </row>
    <row r="9" spans="1:55" x14ac:dyDescent="0.3">
      <c r="A9">
        <v>43045</v>
      </c>
      <c r="B9">
        <v>6.55</v>
      </c>
      <c r="C9" s="1">
        <v>2819</v>
      </c>
      <c r="D9">
        <v>15.9</v>
      </c>
      <c r="E9">
        <v>448</v>
      </c>
      <c r="F9">
        <v>54.5</v>
      </c>
      <c r="G9">
        <v>244</v>
      </c>
      <c r="H9">
        <v>950</v>
      </c>
      <c r="I9" s="1">
        <v>231800</v>
      </c>
      <c r="J9">
        <v>226005</v>
      </c>
      <c r="K9" s="1">
        <v>24880</v>
      </c>
      <c r="L9">
        <v>8.8000000000000007</v>
      </c>
      <c r="M9">
        <v>55.5</v>
      </c>
      <c r="N9">
        <v>102</v>
      </c>
      <c r="O9">
        <v>-19085</v>
      </c>
      <c r="P9">
        <v>-76.709999999999994</v>
      </c>
      <c r="Q9" t="s">
        <v>25</v>
      </c>
      <c r="R9" t="s">
        <v>28</v>
      </c>
      <c r="S9" t="s">
        <v>33</v>
      </c>
      <c r="T9" t="s">
        <v>34</v>
      </c>
      <c r="U9" t="s">
        <v>38</v>
      </c>
      <c r="V9" t="s">
        <v>42</v>
      </c>
      <c r="W9" s="2">
        <f t="shared" si="1"/>
        <v>1.5216633755372284E-4</v>
      </c>
      <c r="X9">
        <f t="shared" si="2"/>
        <v>0.15892160340546294</v>
      </c>
      <c r="Y9">
        <f t="shared" si="3"/>
        <v>8.8258247605533882</v>
      </c>
      <c r="Z9">
        <f t="shared" si="4"/>
        <v>1564.7798742138364</v>
      </c>
      <c r="AA9" s="4">
        <f t="shared" si="0"/>
        <v>5795</v>
      </c>
      <c r="AB9" s="3">
        <f t="shared" si="5"/>
        <v>8.3167202572347261</v>
      </c>
      <c r="AC9" t="str">
        <f>IF(Marketing_data[[#This Row],[ROI]]&gt;0.3,"High ROI","Low ROI")</f>
        <v>Low ROI</v>
      </c>
      <c r="AD9" t="e" cm="1" vm="1">
        <f t="array" aca="1" ref="AD9" ca="1">_xlfn.IFS(P:P&gt;0.5,"Excellent",
ROI&gt;0.3,"Good",
ROI&gt;0.1,"Average",
TRUE,"Poor")</f>
        <v>#VALUE!</v>
      </c>
      <c r="AF9" t="s">
        <v>52</v>
      </c>
      <c r="AH9">
        <f>_xlfn.XLOOKUP(A2,A2:A100,I2:I100)</f>
        <v>779400</v>
      </c>
    </row>
    <row r="10" spans="1:55" x14ac:dyDescent="0.3">
      <c r="A10">
        <v>3011</v>
      </c>
      <c r="B10">
        <v>3.78</v>
      </c>
      <c r="C10" s="1">
        <v>114</v>
      </c>
      <c r="D10">
        <v>31.42</v>
      </c>
      <c r="E10">
        <v>36</v>
      </c>
      <c r="F10">
        <v>60.8</v>
      </c>
      <c r="G10">
        <v>22</v>
      </c>
      <c r="H10">
        <v>970</v>
      </c>
      <c r="I10" s="1">
        <v>21340</v>
      </c>
      <c r="J10">
        <v>20102</v>
      </c>
      <c r="K10" s="1">
        <v>30620</v>
      </c>
      <c r="L10">
        <v>268.60000000000002</v>
      </c>
      <c r="M10">
        <v>850.6</v>
      </c>
      <c r="N10">
        <v>1391.8</v>
      </c>
      <c r="O10">
        <v>-29382</v>
      </c>
      <c r="P10">
        <v>-95.96</v>
      </c>
      <c r="Q10" t="s">
        <v>25</v>
      </c>
      <c r="R10" t="s">
        <v>29</v>
      </c>
      <c r="S10" t="s">
        <v>31</v>
      </c>
      <c r="T10" t="s">
        <v>34</v>
      </c>
      <c r="U10" t="s">
        <v>38</v>
      </c>
      <c r="V10" t="s">
        <v>41</v>
      </c>
      <c r="W10" s="2">
        <f t="shared" si="1"/>
        <v>1.2553968781135836E-3</v>
      </c>
      <c r="X10">
        <f t="shared" si="2"/>
        <v>0.31578947368421051</v>
      </c>
      <c r="Y10">
        <f t="shared" si="3"/>
        <v>268.59649122807019</v>
      </c>
      <c r="Z10">
        <f t="shared" si="4"/>
        <v>974.53851050286437</v>
      </c>
      <c r="AA10" s="4">
        <f t="shared" si="0"/>
        <v>1238</v>
      </c>
      <c r="AB10" s="3">
        <f t="shared" si="5"/>
        <v>-0.30306988896146309</v>
      </c>
      <c r="AC10" t="str">
        <f>IF(Marketing_data[[#This Row],[ROI]]&gt;0.3,"High ROI","Low ROI")</f>
        <v>Low ROI</v>
      </c>
      <c r="AD10" t="e" cm="1" vm="1">
        <f t="array" aca="1" ref="AD10" ca="1">_xlfn.IFS(P:P&gt;0.5,"Excellent",
ROI&gt;0.3,"Good",
ROI&gt;0.1,"Average",
TRUE,"Poor")</f>
        <v>#VALUE!</v>
      </c>
      <c r="AF10" t="s">
        <v>53</v>
      </c>
      <c r="AH10" t="e">
        <f>MATCH("Mobile",A2:A100,0)</f>
        <v>#N/A</v>
      </c>
    </row>
    <row r="11" spans="1:55" x14ac:dyDescent="0.3">
      <c r="A11">
        <v>1978</v>
      </c>
      <c r="B11">
        <v>5</v>
      </c>
      <c r="C11" s="1">
        <v>99</v>
      </c>
      <c r="D11">
        <v>38.090000000000003</v>
      </c>
      <c r="E11">
        <v>38</v>
      </c>
      <c r="F11">
        <v>52.5</v>
      </c>
      <c r="G11">
        <v>20</v>
      </c>
      <c r="H11">
        <v>2700</v>
      </c>
      <c r="I11" s="1">
        <v>54000</v>
      </c>
      <c r="J11">
        <v>47250</v>
      </c>
      <c r="K11" s="1">
        <v>34776</v>
      </c>
      <c r="L11">
        <v>351.3</v>
      </c>
      <c r="M11">
        <v>915.2</v>
      </c>
      <c r="N11">
        <v>1738.8</v>
      </c>
      <c r="O11">
        <v>-28026</v>
      </c>
      <c r="P11">
        <v>-80.59</v>
      </c>
      <c r="Q11" t="s">
        <v>23</v>
      </c>
      <c r="R11" t="s">
        <v>26</v>
      </c>
      <c r="S11" t="s">
        <v>32</v>
      </c>
      <c r="T11" t="s">
        <v>36</v>
      </c>
      <c r="U11" t="s">
        <v>40</v>
      </c>
      <c r="V11" t="s">
        <v>41</v>
      </c>
      <c r="W11" s="2">
        <f t="shared" si="1"/>
        <v>2.5278058645096056E-3</v>
      </c>
      <c r="X11">
        <f t="shared" si="2"/>
        <v>0.38383838383838381</v>
      </c>
      <c r="Y11">
        <f t="shared" si="3"/>
        <v>351.27272727272725</v>
      </c>
      <c r="Z11">
        <f t="shared" si="4"/>
        <v>912.99553688632182</v>
      </c>
      <c r="AA11" s="4">
        <f t="shared" si="0"/>
        <v>6750</v>
      </c>
      <c r="AB11" s="3">
        <f t="shared" si="5"/>
        <v>0.55279503105590067</v>
      </c>
      <c r="AC11" t="str">
        <f>IF(Marketing_data[[#This Row],[ROI]]&gt;0.3,"High ROI","Low ROI")</f>
        <v>Low ROI</v>
      </c>
      <c r="AD11" t="e" cm="1" vm="1">
        <f t="array" aca="1" ref="AD11" ca="1">_xlfn.IFS(P:P&gt;0.5,"Excellent",
ROI&gt;0.3,"Good",
ROI&gt;0.1,"Average",
TRUE,"Poor")</f>
        <v>#VALUE!</v>
      </c>
      <c r="AH11">
        <f>INDEX(I2:I100,MATCH(A2,A2:A100,0))</f>
        <v>779400</v>
      </c>
    </row>
    <row r="12" spans="1:55" x14ac:dyDescent="0.3">
      <c r="A12">
        <v>92042</v>
      </c>
      <c r="B12">
        <v>5.53</v>
      </c>
      <c r="C12" s="1">
        <v>5090</v>
      </c>
      <c r="D12">
        <v>12.9</v>
      </c>
      <c r="E12">
        <v>657</v>
      </c>
      <c r="F12">
        <v>63.2</v>
      </c>
      <c r="G12">
        <v>415</v>
      </c>
      <c r="H12">
        <v>960</v>
      </c>
      <c r="I12" s="1">
        <v>398400</v>
      </c>
      <c r="J12">
        <v>377683</v>
      </c>
      <c r="K12" s="1">
        <v>15870</v>
      </c>
      <c r="L12">
        <v>3.1</v>
      </c>
      <c r="M12">
        <v>24.2</v>
      </c>
      <c r="N12">
        <v>38.200000000000003</v>
      </c>
      <c r="O12">
        <v>4847</v>
      </c>
      <c r="P12">
        <v>30.54</v>
      </c>
      <c r="Q12" t="s">
        <v>23</v>
      </c>
      <c r="R12" t="s">
        <v>26</v>
      </c>
      <c r="S12" t="s">
        <v>30</v>
      </c>
      <c r="T12" t="s">
        <v>35</v>
      </c>
      <c r="U12" t="s">
        <v>38</v>
      </c>
      <c r="V12" t="s">
        <v>41</v>
      </c>
      <c r="W12" s="2">
        <f t="shared" si="1"/>
        <v>6.0081267247560896E-5</v>
      </c>
      <c r="X12">
        <f t="shared" si="2"/>
        <v>0.12907662082514734</v>
      </c>
      <c r="Y12">
        <f t="shared" si="3"/>
        <v>3.117878192534381</v>
      </c>
      <c r="Z12">
        <f t="shared" si="4"/>
        <v>1230.2325581395348</v>
      </c>
      <c r="AA12" s="4">
        <f t="shared" si="0"/>
        <v>20717</v>
      </c>
      <c r="AB12" s="3">
        <f t="shared" si="5"/>
        <v>24.10396975425331</v>
      </c>
      <c r="AC12" t="str">
        <f>IF(Marketing_data[[#This Row],[ROI]]&gt;0.3,"High ROI","Low ROI")</f>
        <v>High ROI</v>
      </c>
      <c r="AD12" t="e" cm="1" vm="1">
        <f t="array" aca="1" ref="AD12" ca="1">_xlfn.IFS(P:P&gt;0.5,"Excellent",
ROI&gt;0.3,"Good",
ROI&gt;0.1,"Average",
TRUE,"Poor")</f>
        <v>#VALUE!</v>
      </c>
      <c r="AF12" t="s">
        <v>56</v>
      </c>
      <c r="AH12">
        <f>SUMIFS(I:I,U:U,"Smartphone")</f>
        <v>21039280</v>
      </c>
    </row>
    <row r="13" spans="1:55" x14ac:dyDescent="0.3">
      <c r="A13">
        <v>15214</v>
      </c>
      <c r="B13">
        <v>6.55</v>
      </c>
      <c r="C13" s="1">
        <v>997</v>
      </c>
      <c r="D13">
        <v>40.159999999999997</v>
      </c>
      <c r="E13">
        <v>400</v>
      </c>
      <c r="F13">
        <v>61.4</v>
      </c>
      <c r="G13">
        <v>246</v>
      </c>
      <c r="H13">
        <v>4250</v>
      </c>
      <c r="I13" s="1">
        <v>1045500</v>
      </c>
      <c r="J13">
        <v>894948</v>
      </c>
      <c r="K13" s="1">
        <v>24106</v>
      </c>
      <c r="L13">
        <v>24.2</v>
      </c>
      <c r="M13">
        <v>60.3</v>
      </c>
      <c r="N13">
        <v>98</v>
      </c>
      <c r="O13">
        <v>126446</v>
      </c>
      <c r="P13">
        <v>524.54</v>
      </c>
      <c r="Q13" t="s">
        <v>25</v>
      </c>
      <c r="R13" t="s">
        <v>28</v>
      </c>
      <c r="S13" t="s">
        <v>30</v>
      </c>
      <c r="T13" t="s">
        <v>34</v>
      </c>
      <c r="U13" t="s">
        <v>37</v>
      </c>
      <c r="V13" t="s">
        <v>41</v>
      </c>
      <c r="W13" s="2">
        <f t="shared" si="1"/>
        <v>4.3052451689233601E-4</v>
      </c>
      <c r="X13">
        <f t="shared" si="2"/>
        <v>0.4012036108324975</v>
      </c>
      <c r="Y13">
        <f t="shared" si="3"/>
        <v>24.178535606820461</v>
      </c>
      <c r="Z13">
        <f t="shared" si="4"/>
        <v>600.24900398406385</v>
      </c>
      <c r="AA13" s="4">
        <f t="shared" si="0"/>
        <v>150552</v>
      </c>
      <c r="AB13" s="3">
        <f t="shared" si="5"/>
        <v>42.370944992947813</v>
      </c>
      <c r="AC13" t="str">
        <f>IF(Marketing_data[[#This Row],[ROI]]&gt;0.3,"High ROI","Low ROI")</f>
        <v>High ROI</v>
      </c>
      <c r="AD13" t="e" cm="1" vm="1">
        <f t="array" aca="1" ref="AD13" ca="1">_xlfn.IFS(P:P&gt;0.5,"Excellent",
ROI&gt;0.3,"Good",
ROI&gt;0.1,"Average",
TRUE,"Poor")</f>
        <v>#VALUE!</v>
      </c>
      <c r="AW13" s="5" t="s">
        <v>57</v>
      </c>
      <c r="AX13" t="s">
        <v>59</v>
      </c>
    </row>
    <row r="14" spans="1:55" x14ac:dyDescent="0.3">
      <c r="A14">
        <v>77653</v>
      </c>
      <c r="B14">
        <v>6.3</v>
      </c>
      <c r="C14" s="1">
        <v>4892</v>
      </c>
      <c r="D14">
        <v>42.6</v>
      </c>
      <c r="E14">
        <v>2084</v>
      </c>
      <c r="F14">
        <v>32.9</v>
      </c>
      <c r="G14">
        <v>686</v>
      </c>
      <c r="H14">
        <v>1100</v>
      </c>
      <c r="I14" s="1">
        <v>754600</v>
      </c>
      <c r="J14">
        <v>891183</v>
      </c>
      <c r="K14" s="1">
        <v>8172</v>
      </c>
      <c r="L14">
        <v>1.7</v>
      </c>
      <c r="M14">
        <v>3.9</v>
      </c>
      <c r="N14">
        <v>11.9</v>
      </c>
      <c r="O14">
        <v>-144755</v>
      </c>
      <c r="P14">
        <v>-1771.35</v>
      </c>
      <c r="Q14" t="s">
        <v>25</v>
      </c>
      <c r="R14" t="s">
        <v>27</v>
      </c>
      <c r="S14" t="s">
        <v>30</v>
      </c>
      <c r="T14" t="s">
        <v>35</v>
      </c>
      <c r="U14" t="s">
        <v>38</v>
      </c>
      <c r="V14" t="s">
        <v>41</v>
      </c>
      <c r="W14" s="2">
        <f t="shared" si="1"/>
        <v>8.1130155950188653E-5</v>
      </c>
      <c r="X14">
        <f t="shared" si="2"/>
        <v>0.4260016353229763</v>
      </c>
      <c r="Y14">
        <f t="shared" si="3"/>
        <v>1.6704824202780049</v>
      </c>
      <c r="Z14">
        <f t="shared" si="4"/>
        <v>191.83098591549296</v>
      </c>
      <c r="AA14" s="4">
        <f t="shared" si="0"/>
        <v>-136583</v>
      </c>
      <c r="AB14" s="3">
        <f t="shared" si="5"/>
        <v>91.339696524718548</v>
      </c>
      <c r="AC14" t="str">
        <f>IF(Marketing_data[[#This Row],[ROI]]&gt;0.3,"High ROI","Low ROI")</f>
        <v>Low ROI</v>
      </c>
      <c r="AD14" t="e" cm="1" vm="1">
        <f t="array" aca="1" ref="AD14" ca="1">_xlfn.IFS(P:P&gt;0.5,"Excellent",
ROI&gt;0.3,"Good",
ROI&gt;0.1,"Average",
TRUE,"Poor")</f>
        <v>#VALUE!</v>
      </c>
      <c r="AW14" s="6" t="s">
        <v>37</v>
      </c>
      <c r="AX14">
        <v>10788400</v>
      </c>
    </row>
    <row r="15" spans="1:55" x14ac:dyDescent="0.3">
      <c r="A15">
        <v>66836</v>
      </c>
      <c r="B15">
        <v>4.8099999999999996</v>
      </c>
      <c r="C15" s="1">
        <v>3215</v>
      </c>
      <c r="D15">
        <v>39.15</v>
      </c>
      <c r="E15">
        <v>1259</v>
      </c>
      <c r="F15">
        <v>62.6</v>
      </c>
      <c r="G15">
        <v>788</v>
      </c>
      <c r="H15">
        <v>4320</v>
      </c>
      <c r="I15" s="1">
        <v>3404160</v>
      </c>
      <c r="J15">
        <v>2736945</v>
      </c>
      <c r="K15" s="1">
        <v>14592</v>
      </c>
      <c r="L15">
        <v>4.5</v>
      </c>
      <c r="M15">
        <v>11.6</v>
      </c>
      <c r="N15">
        <v>18.5</v>
      </c>
      <c r="O15">
        <v>652623</v>
      </c>
      <c r="P15">
        <v>4472.47</v>
      </c>
      <c r="Q15" t="s">
        <v>23</v>
      </c>
      <c r="R15" t="s">
        <v>29</v>
      </c>
      <c r="S15" t="s">
        <v>33</v>
      </c>
      <c r="T15" t="s">
        <v>34</v>
      </c>
      <c r="U15" t="s">
        <v>38</v>
      </c>
      <c r="V15" t="s">
        <v>42</v>
      </c>
      <c r="W15" s="2">
        <f t="shared" si="1"/>
        <v>7.1967203303608822E-5</v>
      </c>
      <c r="X15">
        <f t="shared" si="2"/>
        <v>0.39160186625194399</v>
      </c>
      <c r="Y15">
        <f t="shared" si="3"/>
        <v>4.5387247278382583</v>
      </c>
      <c r="Z15">
        <f t="shared" si="4"/>
        <v>372.72030651340998</v>
      </c>
      <c r="AA15" s="4">
        <f t="shared" si="0"/>
        <v>667215</v>
      </c>
      <c r="AB15" s="3">
        <f t="shared" si="5"/>
        <v>232.28947368421052</v>
      </c>
      <c r="AC15" t="str">
        <f>IF(Marketing_data[[#This Row],[ROI]]&gt;0.3,"High ROI","Low ROI")</f>
        <v>High ROI</v>
      </c>
      <c r="AD15" t="e" cm="1" vm="1">
        <f t="array" aca="1" ref="AD15" ca="1">_xlfn.IFS(P:P&gt;0.5,"Excellent",
ROI&gt;0.3,"Good",
ROI&gt;0.1,"Average",
TRUE,"Poor")</f>
        <v>#VALUE!</v>
      </c>
      <c r="AW15" s="6" t="s">
        <v>40</v>
      </c>
      <c r="AX15">
        <v>15647960</v>
      </c>
    </row>
    <row r="16" spans="1:55" x14ac:dyDescent="0.3">
      <c r="A16">
        <v>3752</v>
      </c>
      <c r="B16">
        <v>6.55</v>
      </c>
      <c r="C16" s="1">
        <v>246</v>
      </c>
      <c r="D16">
        <v>38.61</v>
      </c>
      <c r="E16">
        <v>95</v>
      </c>
      <c r="F16">
        <v>68.400000000000006</v>
      </c>
      <c r="G16">
        <v>65</v>
      </c>
      <c r="H16">
        <v>1120</v>
      </c>
      <c r="I16" s="1">
        <v>72800</v>
      </c>
      <c r="J16">
        <v>53581</v>
      </c>
      <c r="K16" s="1">
        <v>37180</v>
      </c>
      <c r="L16">
        <v>151.1</v>
      </c>
      <c r="M16">
        <v>391.4</v>
      </c>
      <c r="N16">
        <v>572</v>
      </c>
      <c r="O16">
        <v>-17961</v>
      </c>
      <c r="P16">
        <v>-48.31</v>
      </c>
      <c r="Q16" t="s">
        <v>22</v>
      </c>
      <c r="R16" t="s">
        <v>29</v>
      </c>
      <c r="S16" t="s">
        <v>30</v>
      </c>
      <c r="T16" t="s">
        <v>34</v>
      </c>
      <c r="U16" t="s">
        <v>38</v>
      </c>
      <c r="V16" t="s">
        <v>42</v>
      </c>
      <c r="W16" s="2">
        <f t="shared" si="1"/>
        <v>1.7457356076759061E-3</v>
      </c>
      <c r="X16">
        <f t="shared" si="2"/>
        <v>0.38617886178861788</v>
      </c>
      <c r="Y16">
        <f t="shared" si="3"/>
        <v>151.13821138211381</v>
      </c>
      <c r="Z16">
        <f t="shared" si="4"/>
        <v>962.96296296296293</v>
      </c>
      <c r="AA16" s="4">
        <f t="shared" si="0"/>
        <v>19219</v>
      </c>
      <c r="AB16" s="3">
        <f t="shared" si="5"/>
        <v>0.95804195804195802</v>
      </c>
      <c r="AC16" t="str">
        <f>IF(Marketing_data[[#This Row],[ROI]]&gt;0.3,"High ROI","Low ROI")</f>
        <v>Low ROI</v>
      </c>
      <c r="AD16" t="e" cm="1" vm="1">
        <f t="array" aca="1" ref="AD16" ca="1">_xlfn.IFS(P:P&gt;0.5,"Excellent",
ROI&gt;0.3,"Good",
ROI&gt;0.1,"Average",
TRUE,"Poor")</f>
        <v>#VALUE!</v>
      </c>
      <c r="AW16" s="6" t="s">
        <v>38</v>
      </c>
      <c r="AX16">
        <v>21039280</v>
      </c>
    </row>
    <row r="17" spans="1:61" x14ac:dyDescent="0.3">
      <c r="A17">
        <v>26108</v>
      </c>
      <c r="B17">
        <v>3.6</v>
      </c>
      <c r="C17" s="1">
        <v>940</v>
      </c>
      <c r="D17">
        <v>24.12</v>
      </c>
      <c r="E17">
        <v>227</v>
      </c>
      <c r="F17">
        <v>76.3</v>
      </c>
      <c r="G17">
        <v>173</v>
      </c>
      <c r="H17">
        <v>1300</v>
      </c>
      <c r="I17" s="1">
        <v>224900</v>
      </c>
      <c r="J17">
        <v>168000</v>
      </c>
      <c r="K17" s="1">
        <v>15665</v>
      </c>
      <c r="L17">
        <v>16.7</v>
      </c>
      <c r="M17">
        <v>69</v>
      </c>
      <c r="N17">
        <v>90.5</v>
      </c>
      <c r="O17">
        <v>41235</v>
      </c>
      <c r="P17">
        <v>263.23</v>
      </c>
      <c r="Q17" t="s">
        <v>23</v>
      </c>
      <c r="R17" t="s">
        <v>28</v>
      </c>
      <c r="S17" t="s">
        <v>32</v>
      </c>
      <c r="T17" t="s">
        <v>34</v>
      </c>
      <c r="U17" t="s">
        <v>37</v>
      </c>
      <c r="V17" t="s">
        <v>43</v>
      </c>
      <c r="W17" s="2">
        <f t="shared" si="1"/>
        <v>1.3788876972575456E-4</v>
      </c>
      <c r="X17">
        <f t="shared" si="2"/>
        <v>0.24148936170212765</v>
      </c>
      <c r="Y17">
        <f t="shared" si="3"/>
        <v>16.664893617021278</v>
      </c>
      <c r="Z17">
        <f t="shared" si="4"/>
        <v>649.46102819237149</v>
      </c>
      <c r="AA17" s="4">
        <f t="shared" si="0"/>
        <v>56900</v>
      </c>
      <c r="AB17" s="3">
        <f t="shared" si="5"/>
        <v>13.356846473029046</v>
      </c>
      <c r="AC17" t="str">
        <f>IF(Marketing_data[[#This Row],[ROI]]&gt;0.3,"High ROI","Low ROI")</f>
        <v>High ROI</v>
      </c>
      <c r="AD17" t="e" cm="1" vm="1">
        <f t="array" aca="1" ref="AD17" ca="1">_xlfn.IFS(P:P&gt;0.5,"Excellent",
ROI&gt;0.3,"Good",
ROI&gt;0.1,"Average",
TRUE,"Poor")</f>
        <v>#VALUE!</v>
      </c>
      <c r="AW17" s="6" t="s">
        <v>39</v>
      </c>
      <c r="AX17">
        <v>7299350</v>
      </c>
    </row>
    <row r="18" spans="1:61" x14ac:dyDescent="0.3">
      <c r="A18">
        <v>11731</v>
      </c>
      <c r="B18">
        <v>5.81</v>
      </c>
      <c r="C18" s="1">
        <v>682</v>
      </c>
      <c r="D18">
        <v>26.25</v>
      </c>
      <c r="E18">
        <v>179</v>
      </c>
      <c r="F18">
        <v>73.8</v>
      </c>
      <c r="G18">
        <v>132</v>
      </c>
      <c r="H18">
        <v>1310</v>
      </c>
      <c r="I18" s="1">
        <v>172920</v>
      </c>
      <c r="J18">
        <v>145599</v>
      </c>
      <c r="K18" s="1">
        <v>24656</v>
      </c>
      <c r="L18">
        <v>36.200000000000003</v>
      </c>
      <c r="M18">
        <v>137.69999999999999</v>
      </c>
      <c r="N18">
        <v>186.8</v>
      </c>
      <c r="O18">
        <v>2665</v>
      </c>
      <c r="P18">
        <v>10.81</v>
      </c>
      <c r="Q18" t="s">
        <v>25</v>
      </c>
      <c r="R18" t="s">
        <v>28</v>
      </c>
      <c r="S18" t="s">
        <v>33</v>
      </c>
      <c r="T18" t="s">
        <v>34</v>
      </c>
      <c r="U18" t="s">
        <v>40</v>
      </c>
      <c r="V18" t="s">
        <v>41</v>
      </c>
      <c r="W18" s="2">
        <f t="shared" si="1"/>
        <v>4.952689455289404E-4</v>
      </c>
      <c r="X18">
        <f t="shared" si="2"/>
        <v>0.26246334310850439</v>
      </c>
      <c r="Y18">
        <f t="shared" si="3"/>
        <v>36.152492668621704</v>
      </c>
      <c r="Z18">
        <f t="shared" si="4"/>
        <v>939.27619047619044</v>
      </c>
      <c r="AA18" s="4">
        <f t="shared" si="0"/>
        <v>27321</v>
      </c>
      <c r="AB18" s="3">
        <f t="shared" si="5"/>
        <v>6.0133030499675533</v>
      </c>
      <c r="AC18" t="str">
        <f>IF(Marketing_data[[#This Row],[ROI]]&gt;0.3,"High ROI","Low ROI")</f>
        <v>High ROI</v>
      </c>
      <c r="AD18" t="e" cm="1" vm="1">
        <f t="array" aca="1" ref="AD18" ca="1">_xlfn.IFS(P:P&gt;0.5,"Excellent",
ROI&gt;0.3,"Good",
ROI&gt;0.1,"Average",
TRUE,"Poor")</f>
        <v>#VALUE!</v>
      </c>
      <c r="AW18" s="6" t="s">
        <v>58</v>
      </c>
      <c r="AX18">
        <v>54774990</v>
      </c>
    </row>
    <row r="19" spans="1:61" x14ac:dyDescent="0.3">
      <c r="A19">
        <v>81634</v>
      </c>
      <c r="B19">
        <v>5.31</v>
      </c>
      <c r="C19" s="1">
        <v>4335</v>
      </c>
      <c r="D19">
        <v>31.32</v>
      </c>
      <c r="E19">
        <v>1358</v>
      </c>
      <c r="F19">
        <v>69.400000000000006</v>
      </c>
      <c r="G19">
        <v>942</v>
      </c>
      <c r="H19">
        <v>1030</v>
      </c>
      <c r="I19" s="1">
        <v>970260</v>
      </c>
      <c r="J19">
        <v>791732</v>
      </c>
      <c r="K19" s="1">
        <v>23076</v>
      </c>
      <c r="L19">
        <v>5.3</v>
      </c>
      <c r="M19">
        <v>17</v>
      </c>
      <c r="N19">
        <v>24.5</v>
      </c>
      <c r="O19">
        <v>155452</v>
      </c>
      <c r="P19">
        <v>673.65</v>
      </c>
      <c r="Q19" t="s">
        <v>24</v>
      </c>
      <c r="R19" t="s">
        <v>26</v>
      </c>
      <c r="S19" t="s">
        <v>33</v>
      </c>
      <c r="T19" t="s">
        <v>34</v>
      </c>
      <c r="U19" t="s">
        <v>38</v>
      </c>
      <c r="V19" t="s">
        <v>42</v>
      </c>
      <c r="W19" s="2">
        <f t="shared" si="1"/>
        <v>6.5046426733958879E-5</v>
      </c>
      <c r="X19">
        <f t="shared" si="2"/>
        <v>0.31326412918108421</v>
      </c>
      <c r="Y19">
        <f t="shared" si="3"/>
        <v>5.3231833910034601</v>
      </c>
      <c r="Z19">
        <f t="shared" si="4"/>
        <v>736.78160919540232</v>
      </c>
      <c r="AA19" s="4">
        <f t="shared" si="0"/>
        <v>178528</v>
      </c>
      <c r="AB19" s="3">
        <f t="shared" si="5"/>
        <v>41.046281851274053</v>
      </c>
      <c r="AC19" t="str">
        <f>IF(Marketing_data[[#This Row],[ROI]]&gt;0.3,"High ROI","Low ROI")</f>
        <v>High ROI</v>
      </c>
      <c r="AD19" t="e" cm="1" vm="1">
        <f t="array" aca="1" ref="AD19" ca="1">_xlfn.IFS(P:P&gt;0.5,"Excellent",
ROI&gt;0.3,"Good",
ROI&gt;0.1,"Average",
TRUE,"Poor")</f>
        <v>#VALUE!</v>
      </c>
    </row>
    <row r="20" spans="1:61" x14ac:dyDescent="0.3">
      <c r="A20">
        <v>24588</v>
      </c>
      <c r="B20">
        <v>3.25</v>
      </c>
      <c r="C20" s="1">
        <v>799</v>
      </c>
      <c r="D20">
        <v>38.36</v>
      </c>
      <c r="E20">
        <v>306</v>
      </c>
      <c r="F20">
        <v>78.900000000000006</v>
      </c>
      <c r="G20">
        <v>241</v>
      </c>
      <c r="H20">
        <v>1050</v>
      </c>
      <c r="I20" s="1">
        <v>253050</v>
      </c>
      <c r="J20">
        <v>174858</v>
      </c>
      <c r="K20" s="1">
        <v>20033</v>
      </c>
      <c r="L20">
        <v>25.1</v>
      </c>
      <c r="M20">
        <v>65.5</v>
      </c>
      <c r="N20">
        <v>83.1</v>
      </c>
      <c r="O20">
        <v>58159</v>
      </c>
      <c r="P20">
        <v>290.32</v>
      </c>
      <c r="Q20" t="s">
        <v>23</v>
      </c>
      <c r="R20" t="s">
        <v>29</v>
      </c>
      <c r="S20" t="s">
        <v>33</v>
      </c>
      <c r="T20" t="s">
        <v>36</v>
      </c>
      <c r="U20" t="s">
        <v>38</v>
      </c>
      <c r="V20" t="s">
        <v>43</v>
      </c>
      <c r="W20" s="2">
        <f t="shared" si="1"/>
        <v>1.3217829835692209E-4</v>
      </c>
      <c r="X20">
        <f t="shared" si="2"/>
        <v>0.38297872340425532</v>
      </c>
      <c r="Y20">
        <f t="shared" si="3"/>
        <v>25.072590738423028</v>
      </c>
      <c r="Z20">
        <f t="shared" si="4"/>
        <v>522.23670490093843</v>
      </c>
      <c r="AA20" s="4">
        <f t="shared" si="0"/>
        <v>78192</v>
      </c>
      <c r="AB20" s="3">
        <f t="shared" si="5"/>
        <v>11.631657764688264</v>
      </c>
      <c r="AC20" t="str">
        <f>IF(Marketing_data[[#This Row],[ROI]]&gt;0.3,"High ROI","Low ROI")</f>
        <v>High ROI</v>
      </c>
      <c r="AD20" t="e" cm="1" vm="1">
        <f t="array" aca="1" ref="AD20" ca="1">_xlfn.IFS(P:P&gt;0.5,"Excellent",
ROI&gt;0.3,"Good",
ROI&gt;0.1,"Average",
TRUE,"Poor")</f>
        <v>#VALUE!</v>
      </c>
    </row>
    <row r="21" spans="1:61" x14ac:dyDescent="0.3">
      <c r="A21">
        <v>87553</v>
      </c>
      <c r="B21">
        <v>3.67</v>
      </c>
      <c r="C21" s="1">
        <v>3213</v>
      </c>
      <c r="D21">
        <v>39.700000000000003</v>
      </c>
      <c r="E21">
        <v>1276</v>
      </c>
      <c r="F21">
        <v>69.5</v>
      </c>
      <c r="G21">
        <v>887</v>
      </c>
      <c r="H21">
        <v>1460</v>
      </c>
      <c r="I21" s="1">
        <v>1295020</v>
      </c>
      <c r="J21">
        <v>925939</v>
      </c>
      <c r="K21" s="1">
        <v>32470</v>
      </c>
      <c r="L21">
        <v>10.1</v>
      </c>
      <c r="M21">
        <v>25.4</v>
      </c>
      <c r="N21">
        <v>36.6</v>
      </c>
      <c r="O21">
        <v>336611</v>
      </c>
      <c r="P21">
        <v>1036.68</v>
      </c>
      <c r="Q21" t="s">
        <v>24</v>
      </c>
      <c r="R21" t="s">
        <v>28</v>
      </c>
      <c r="S21" t="s">
        <v>31</v>
      </c>
      <c r="T21" t="s">
        <v>36</v>
      </c>
      <c r="U21" t="s">
        <v>39</v>
      </c>
      <c r="V21" t="s">
        <v>41</v>
      </c>
      <c r="W21" s="2">
        <f t="shared" si="1"/>
        <v>4.1917467134193E-5</v>
      </c>
      <c r="X21">
        <f t="shared" si="2"/>
        <v>0.39713663243075009</v>
      </c>
      <c r="Y21">
        <f t="shared" si="3"/>
        <v>10.105820105820106</v>
      </c>
      <c r="Z21">
        <f t="shared" si="4"/>
        <v>817.88413098236765</v>
      </c>
      <c r="AA21" s="4">
        <f t="shared" si="0"/>
        <v>369081</v>
      </c>
      <c r="AB21" s="3">
        <f t="shared" si="5"/>
        <v>38.883584847551589</v>
      </c>
      <c r="AC21" t="str">
        <f>IF(Marketing_data[[#This Row],[ROI]]&gt;0.3,"High ROI","Low ROI")</f>
        <v>High ROI</v>
      </c>
      <c r="AD21" t="e" cm="1" vm="1">
        <f t="array" aca="1" ref="AD21" ca="1">_xlfn.IFS(P:P&gt;0.5,"Excellent",
ROI&gt;0.3,"Good",
ROI&gt;0.1,"Average",
TRUE,"Poor")</f>
        <v>#VALUE!</v>
      </c>
    </row>
    <row r="22" spans="1:61" x14ac:dyDescent="0.3">
      <c r="A22">
        <v>13227</v>
      </c>
      <c r="B22">
        <v>5.47</v>
      </c>
      <c r="C22" s="1">
        <v>724</v>
      </c>
      <c r="D22">
        <v>21.93</v>
      </c>
      <c r="E22">
        <v>159</v>
      </c>
      <c r="F22">
        <v>62.1</v>
      </c>
      <c r="G22">
        <v>99</v>
      </c>
      <c r="H22">
        <v>1090</v>
      </c>
      <c r="I22" s="1">
        <v>107910</v>
      </c>
      <c r="J22">
        <v>86220</v>
      </c>
      <c r="K22" s="1">
        <v>21072</v>
      </c>
      <c r="L22">
        <v>29.1</v>
      </c>
      <c r="M22">
        <v>132.5</v>
      </c>
      <c r="N22">
        <v>212.8</v>
      </c>
      <c r="O22">
        <v>618</v>
      </c>
      <c r="P22">
        <v>2.93</v>
      </c>
      <c r="Q22" t="s">
        <v>22</v>
      </c>
      <c r="R22" t="s">
        <v>28</v>
      </c>
      <c r="S22" t="s">
        <v>30</v>
      </c>
      <c r="T22" t="s">
        <v>34</v>
      </c>
      <c r="U22" t="s">
        <v>40</v>
      </c>
      <c r="V22" t="s">
        <v>42</v>
      </c>
      <c r="W22" s="2">
        <f t="shared" si="1"/>
        <v>4.1354804566417174E-4</v>
      </c>
      <c r="X22">
        <f t="shared" si="2"/>
        <v>0.21961325966850828</v>
      </c>
      <c r="Y22">
        <f t="shared" si="3"/>
        <v>29.104972375690608</v>
      </c>
      <c r="Z22">
        <f t="shared" si="4"/>
        <v>960.87551299589609</v>
      </c>
      <c r="AA22" s="4">
        <f t="shared" si="0"/>
        <v>21690</v>
      </c>
      <c r="AB22" s="3">
        <f t="shared" si="5"/>
        <v>4.1210136674259683</v>
      </c>
      <c r="AC22" t="str">
        <f>IF(Marketing_data[[#This Row],[ROI]]&gt;0.3,"High ROI","Low ROI")</f>
        <v>High ROI</v>
      </c>
      <c r="AD22" t="e" cm="1" vm="1">
        <f t="array" aca="1" ref="AD22" ca="1">_xlfn.IFS(P:P&gt;0.5,"Excellent",
ROI&gt;0.3,"Good",
ROI&gt;0.1,"Average",
TRUE,"Poor")</f>
        <v>#VALUE!</v>
      </c>
    </row>
    <row r="23" spans="1:61" x14ac:dyDescent="0.3">
      <c r="A23">
        <v>8267</v>
      </c>
      <c r="B23">
        <v>7.24</v>
      </c>
      <c r="C23" s="1">
        <v>599</v>
      </c>
      <c r="D23">
        <v>32.21</v>
      </c>
      <c r="E23">
        <v>193</v>
      </c>
      <c r="F23">
        <v>50.6</v>
      </c>
      <c r="G23">
        <v>98</v>
      </c>
      <c r="H23">
        <v>1000</v>
      </c>
      <c r="I23" s="1">
        <v>98000</v>
      </c>
      <c r="J23">
        <v>105252</v>
      </c>
      <c r="K23" s="1">
        <v>31858</v>
      </c>
      <c r="L23">
        <v>53.2</v>
      </c>
      <c r="M23">
        <v>165.1</v>
      </c>
      <c r="N23">
        <v>325.10000000000002</v>
      </c>
      <c r="O23">
        <v>-39110</v>
      </c>
      <c r="P23">
        <v>-122.76</v>
      </c>
      <c r="Q23" t="s">
        <v>24</v>
      </c>
      <c r="R23" t="s">
        <v>26</v>
      </c>
      <c r="S23" t="s">
        <v>33</v>
      </c>
      <c r="T23" t="s">
        <v>34</v>
      </c>
      <c r="U23" t="s">
        <v>37</v>
      </c>
      <c r="V23" t="s">
        <v>41</v>
      </c>
      <c r="W23" s="2">
        <f t="shared" si="1"/>
        <v>8.7577113826055406E-4</v>
      </c>
      <c r="X23">
        <f t="shared" si="2"/>
        <v>0.32220367278797996</v>
      </c>
      <c r="Y23">
        <f t="shared" si="3"/>
        <v>53.185308848080133</v>
      </c>
      <c r="Z23">
        <f t="shared" si="4"/>
        <v>989.07171685811852</v>
      </c>
      <c r="AA23" s="4">
        <f t="shared" si="0"/>
        <v>-7252</v>
      </c>
      <c r="AB23" s="3">
        <f t="shared" si="5"/>
        <v>2.0761504174775567</v>
      </c>
      <c r="AC23" t="str">
        <f>IF(Marketing_data[[#This Row],[ROI]]&gt;0.3,"High ROI","Low ROI")</f>
        <v>Low ROI</v>
      </c>
      <c r="AD23" t="e" cm="1" vm="1">
        <f t="array" aca="1" ref="AD23" ca="1">_xlfn.IFS(P:P&gt;0.5,"Excellent",
ROI&gt;0.3,"Good",
ROI&gt;0.1,"Average",
TRUE,"Poor")</f>
        <v>#VALUE!</v>
      </c>
      <c r="AJ23" s="5" t="s">
        <v>57</v>
      </c>
      <c r="AK23" t="s">
        <v>60</v>
      </c>
      <c r="AL23" t="s">
        <v>61</v>
      </c>
      <c r="AM23" t="s">
        <v>59</v>
      </c>
      <c r="AX23" s="5" t="s">
        <v>57</v>
      </c>
      <c r="AY23" t="s">
        <v>62</v>
      </c>
      <c r="AZ23" t="s">
        <v>59</v>
      </c>
      <c r="BA23" t="s">
        <v>63</v>
      </c>
    </row>
    <row r="24" spans="1:61" x14ac:dyDescent="0.3">
      <c r="A24">
        <v>2143</v>
      </c>
      <c r="B24">
        <v>4.57</v>
      </c>
      <c r="C24" s="1">
        <v>98</v>
      </c>
      <c r="D24">
        <v>39.65</v>
      </c>
      <c r="E24">
        <v>39</v>
      </c>
      <c r="F24">
        <v>51.4</v>
      </c>
      <c r="G24">
        <v>20</v>
      </c>
      <c r="H24">
        <v>950</v>
      </c>
      <c r="I24" s="1">
        <v>19000</v>
      </c>
      <c r="J24">
        <v>18734</v>
      </c>
      <c r="K24" s="1">
        <v>15540</v>
      </c>
      <c r="L24">
        <v>158.6</v>
      </c>
      <c r="M24">
        <v>398.5</v>
      </c>
      <c r="N24">
        <v>777</v>
      </c>
      <c r="O24">
        <v>-15274</v>
      </c>
      <c r="P24">
        <v>-98.29</v>
      </c>
      <c r="Q24" t="s">
        <v>25</v>
      </c>
      <c r="R24" t="s">
        <v>29</v>
      </c>
      <c r="S24" t="s">
        <v>31</v>
      </c>
      <c r="T24" t="s">
        <v>34</v>
      </c>
      <c r="U24" t="s">
        <v>40</v>
      </c>
      <c r="V24" t="s">
        <v>41</v>
      </c>
      <c r="W24" s="2">
        <f t="shared" si="1"/>
        <v>2.1325244983667756E-3</v>
      </c>
      <c r="X24">
        <f t="shared" si="2"/>
        <v>0.39795918367346939</v>
      </c>
      <c r="Y24">
        <f t="shared" si="3"/>
        <v>158.57142857142858</v>
      </c>
      <c r="Z24">
        <f t="shared" si="4"/>
        <v>391.92938209331652</v>
      </c>
      <c r="AA24" s="4">
        <f t="shared" si="0"/>
        <v>266</v>
      </c>
      <c r="AB24" s="3">
        <f t="shared" si="5"/>
        <v>0.22265122265122264</v>
      </c>
      <c r="AC24" t="str">
        <f>IF(Marketing_data[[#This Row],[ROI]]&gt;0.3,"High ROI","Low ROI")</f>
        <v>Low ROI</v>
      </c>
      <c r="AD24" t="e" cm="1" vm="1">
        <f t="array" aca="1" ref="AD24" ca="1">_xlfn.IFS(P:P&gt;0.5,"Excellent",
ROI&gt;0.3,"Good",
ROI&gt;0.1,"Average",
TRUE,"Poor")</f>
        <v>#VALUE!</v>
      </c>
      <c r="AJ24" s="6" t="s">
        <v>35</v>
      </c>
      <c r="AK24">
        <v>41654</v>
      </c>
      <c r="AL24">
        <v>13021</v>
      </c>
      <c r="AM24">
        <v>9615440</v>
      </c>
      <c r="AX24" s="6" t="s">
        <v>33</v>
      </c>
      <c r="AY24">
        <v>134.18</v>
      </c>
      <c r="AZ24">
        <v>23118530</v>
      </c>
      <c r="BA24">
        <v>17487.52</v>
      </c>
    </row>
    <row r="25" spans="1:61" x14ac:dyDescent="0.3">
      <c r="A25">
        <v>157945</v>
      </c>
      <c r="B25">
        <v>3.16</v>
      </c>
      <c r="C25" s="1">
        <v>4991</v>
      </c>
      <c r="D25">
        <v>27.69</v>
      </c>
      <c r="E25">
        <v>1382</v>
      </c>
      <c r="F25">
        <v>35.299999999999997</v>
      </c>
      <c r="G25">
        <v>488</v>
      </c>
      <c r="H25">
        <v>1110</v>
      </c>
      <c r="I25" s="1">
        <v>541680</v>
      </c>
      <c r="J25">
        <v>610473</v>
      </c>
      <c r="K25" s="1">
        <v>25552</v>
      </c>
      <c r="L25">
        <v>5.0999999999999996</v>
      </c>
      <c r="M25">
        <v>18.5</v>
      </c>
      <c r="N25">
        <v>52.4</v>
      </c>
      <c r="O25">
        <v>-94345</v>
      </c>
      <c r="P25">
        <v>-369.23</v>
      </c>
      <c r="Q25" t="s">
        <v>25</v>
      </c>
      <c r="R25" t="s">
        <v>26</v>
      </c>
      <c r="S25" t="s">
        <v>33</v>
      </c>
      <c r="T25" t="s">
        <v>34</v>
      </c>
      <c r="U25" t="s">
        <v>38</v>
      </c>
      <c r="V25" t="s">
        <v>41</v>
      </c>
      <c r="W25" s="2">
        <f t="shared" si="1"/>
        <v>2.0006964449650196E-5</v>
      </c>
      <c r="X25">
        <f t="shared" si="2"/>
        <v>0.27689841715087155</v>
      </c>
      <c r="Y25">
        <f t="shared" si="3"/>
        <v>5.1196153075535964</v>
      </c>
      <c r="Z25">
        <f t="shared" si="4"/>
        <v>922.78801011195378</v>
      </c>
      <c r="AA25" s="4">
        <f t="shared" si="0"/>
        <v>-68793</v>
      </c>
      <c r="AB25" s="3">
        <f t="shared" si="5"/>
        <v>20.19912335629305</v>
      </c>
      <c r="AC25" t="str">
        <f>IF(Marketing_data[[#This Row],[ROI]]&gt;0.3,"High ROI","Low ROI")</f>
        <v>Low ROI</v>
      </c>
      <c r="AD25" t="e" cm="1" vm="1">
        <f t="array" aca="1" ref="AD25" ca="1">_xlfn.IFS(P:P&gt;0.5,"Excellent",
ROI&gt;0.3,"Good",
ROI&gt;0.1,"Average",
TRUE,"Poor")</f>
        <v>#VALUE!</v>
      </c>
      <c r="AJ25" s="6" t="s">
        <v>34</v>
      </c>
      <c r="AK25">
        <v>129156</v>
      </c>
      <c r="AL25">
        <v>38982</v>
      </c>
      <c r="AM25">
        <v>34729460</v>
      </c>
      <c r="AX25" s="6" t="s">
        <v>30</v>
      </c>
      <c r="AY25">
        <v>128.23000000000002</v>
      </c>
      <c r="AZ25">
        <v>13214370</v>
      </c>
      <c r="BA25">
        <v>4696.8500000000004</v>
      </c>
      <c r="BG25" s="5" t="s">
        <v>57</v>
      </c>
      <c r="BH25" t="s">
        <v>60</v>
      </c>
      <c r="BI25" t="s">
        <v>59</v>
      </c>
    </row>
    <row r="26" spans="1:61" x14ac:dyDescent="0.3">
      <c r="A26">
        <v>92967</v>
      </c>
      <c r="B26">
        <v>3.42</v>
      </c>
      <c r="C26" s="1">
        <v>3179</v>
      </c>
      <c r="D26">
        <v>17.25</v>
      </c>
      <c r="E26">
        <v>548</v>
      </c>
      <c r="F26">
        <v>53.8</v>
      </c>
      <c r="G26">
        <v>295</v>
      </c>
      <c r="H26">
        <v>1410</v>
      </c>
      <c r="I26" s="1">
        <v>415950</v>
      </c>
      <c r="J26">
        <v>391825</v>
      </c>
      <c r="K26" s="1">
        <v>30980</v>
      </c>
      <c r="L26">
        <v>9.6999999999999993</v>
      </c>
      <c r="M26">
        <v>56.5</v>
      </c>
      <c r="N26">
        <v>105</v>
      </c>
      <c r="O26">
        <v>-6855</v>
      </c>
      <c r="P26">
        <v>-22.13</v>
      </c>
      <c r="Q26" t="s">
        <v>22</v>
      </c>
      <c r="R26" t="s">
        <v>28</v>
      </c>
      <c r="S26" t="s">
        <v>31</v>
      </c>
      <c r="T26" t="s">
        <v>34</v>
      </c>
      <c r="U26" t="s">
        <v>37</v>
      </c>
      <c r="V26" t="s">
        <v>41</v>
      </c>
      <c r="W26" s="2">
        <f t="shared" si="1"/>
        <v>3.6787247087676273E-5</v>
      </c>
      <c r="X26">
        <f t="shared" si="2"/>
        <v>0.17238125196602705</v>
      </c>
      <c r="Y26">
        <f t="shared" si="3"/>
        <v>9.7452028939918218</v>
      </c>
      <c r="Z26">
        <f t="shared" si="4"/>
        <v>1795.9420289855072</v>
      </c>
      <c r="AA26" s="4">
        <f t="shared" si="0"/>
        <v>24125</v>
      </c>
      <c r="AB26" s="3">
        <f t="shared" si="5"/>
        <v>12.42640413169787</v>
      </c>
      <c r="AC26" t="str">
        <f>IF(Marketing_data[[#This Row],[ROI]]&gt;0.3,"High ROI","Low ROI")</f>
        <v>Low ROI</v>
      </c>
      <c r="AD26" t="e" cm="1" vm="1">
        <f t="array" aca="1" ref="AD26" ca="1">_xlfn.IFS(P:P&gt;0.5,"Excellent",
ROI&gt;0.3,"Good",
ROI&gt;0.1,"Average",
TRUE,"Poor")</f>
        <v>#VALUE!</v>
      </c>
      <c r="AJ26" s="6" t="s">
        <v>36</v>
      </c>
      <c r="AK26">
        <v>28220</v>
      </c>
      <c r="AL26">
        <v>10613</v>
      </c>
      <c r="AM26">
        <v>10430090</v>
      </c>
      <c r="AX26" s="6" t="s">
        <v>32</v>
      </c>
      <c r="AY26">
        <v>85.67</v>
      </c>
      <c r="AZ26">
        <v>9080240</v>
      </c>
      <c r="BA26">
        <v>1661.8900000000006</v>
      </c>
      <c r="BG26" s="6" t="s">
        <v>28</v>
      </c>
      <c r="BH26">
        <v>48504</v>
      </c>
      <c r="BI26">
        <v>12582950</v>
      </c>
    </row>
    <row r="27" spans="1:61" x14ac:dyDescent="0.3">
      <c r="A27">
        <v>3790</v>
      </c>
      <c r="B27">
        <v>4.76</v>
      </c>
      <c r="C27" s="1">
        <v>180</v>
      </c>
      <c r="D27">
        <v>28.3</v>
      </c>
      <c r="E27">
        <v>51</v>
      </c>
      <c r="F27">
        <v>63.9</v>
      </c>
      <c r="G27">
        <v>33</v>
      </c>
      <c r="H27">
        <v>1460</v>
      </c>
      <c r="I27" s="1">
        <v>48180</v>
      </c>
      <c r="J27">
        <v>43892</v>
      </c>
      <c r="K27" s="1">
        <v>12420</v>
      </c>
      <c r="L27">
        <v>69</v>
      </c>
      <c r="M27">
        <v>243.5</v>
      </c>
      <c r="N27">
        <v>376.4</v>
      </c>
      <c r="O27">
        <v>-8132</v>
      </c>
      <c r="P27">
        <v>-65.48</v>
      </c>
      <c r="Q27" t="s">
        <v>23</v>
      </c>
      <c r="R27" t="s">
        <v>29</v>
      </c>
      <c r="S27" t="s">
        <v>31</v>
      </c>
      <c r="T27" t="s">
        <v>34</v>
      </c>
      <c r="U27" t="s">
        <v>37</v>
      </c>
      <c r="V27" t="s">
        <v>41</v>
      </c>
      <c r="W27" s="2">
        <f t="shared" si="1"/>
        <v>1.2559366754617415E-3</v>
      </c>
      <c r="X27">
        <f t="shared" si="2"/>
        <v>0.28333333333333333</v>
      </c>
      <c r="Y27">
        <f t="shared" si="3"/>
        <v>69</v>
      </c>
      <c r="Z27">
        <f t="shared" si="4"/>
        <v>438.86925795053003</v>
      </c>
      <c r="AA27" s="4">
        <f t="shared" si="0"/>
        <v>4288</v>
      </c>
      <c r="AB27" s="3">
        <f t="shared" si="5"/>
        <v>2.8792270531400965</v>
      </c>
      <c r="AC27" t="str">
        <f>IF(Marketing_data[[#This Row],[ROI]]&gt;0.3,"High ROI","Low ROI")</f>
        <v>Low ROI</v>
      </c>
      <c r="AD27" t="e" cm="1" vm="1">
        <f t="array" aca="1" ref="AD27" ca="1">_xlfn.IFS(P:P&gt;0.5,"Excellent",
ROI&gt;0.3,"Good",
ROI&gt;0.1,"Average",
TRUE,"Poor")</f>
        <v>#VALUE!</v>
      </c>
      <c r="AJ27" s="6" t="s">
        <v>58</v>
      </c>
      <c r="AK27">
        <v>199030</v>
      </c>
      <c r="AL27">
        <v>62616</v>
      </c>
      <c r="AM27">
        <v>54774990</v>
      </c>
      <c r="AX27" s="6" t="s">
        <v>31</v>
      </c>
      <c r="AY27">
        <v>113.69</v>
      </c>
      <c r="AZ27">
        <v>9361850</v>
      </c>
      <c r="BA27">
        <v>1496.4900000000002</v>
      </c>
      <c r="BG27" s="6" t="s">
        <v>29</v>
      </c>
      <c r="BH27">
        <v>28786</v>
      </c>
      <c r="BI27">
        <v>11491630</v>
      </c>
    </row>
    <row r="28" spans="1:61" x14ac:dyDescent="0.3">
      <c r="A28">
        <v>130614</v>
      </c>
      <c r="B28">
        <v>4.8099999999999996</v>
      </c>
      <c r="C28" s="1">
        <v>6283</v>
      </c>
      <c r="D28">
        <v>23.02</v>
      </c>
      <c r="E28">
        <v>1446</v>
      </c>
      <c r="F28">
        <v>69</v>
      </c>
      <c r="G28">
        <v>998</v>
      </c>
      <c r="H28">
        <v>1500</v>
      </c>
      <c r="I28" s="1">
        <v>1497000</v>
      </c>
      <c r="J28">
        <v>1092810</v>
      </c>
      <c r="K28" s="1">
        <v>18924</v>
      </c>
      <c r="L28">
        <v>3</v>
      </c>
      <c r="M28">
        <v>13.1</v>
      </c>
      <c r="N28">
        <v>19</v>
      </c>
      <c r="O28">
        <v>385266</v>
      </c>
      <c r="P28">
        <v>2035.86</v>
      </c>
      <c r="Q28" t="s">
        <v>25</v>
      </c>
      <c r="R28" t="s">
        <v>26</v>
      </c>
      <c r="S28" t="s">
        <v>33</v>
      </c>
      <c r="T28" t="s">
        <v>34</v>
      </c>
      <c r="U28" t="s">
        <v>37</v>
      </c>
      <c r="V28" t="s">
        <v>42</v>
      </c>
      <c r="W28" s="2">
        <f t="shared" si="1"/>
        <v>3.6826067649715951E-5</v>
      </c>
      <c r="X28">
        <f t="shared" si="2"/>
        <v>0.23014483526977558</v>
      </c>
      <c r="Y28">
        <f t="shared" si="3"/>
        <v>3.011936972783702</v>
      </c>
      <c r="Z28">
        <f t="shared" si="4"/>
        <v>822.06776715899218</v>
      </c>
      <c r="AA28" s="4">
        <f t="shared" si="0"/>
        <v>404190</v>
      </c>
      <c r="AB28" s="3">
        <f t="shared" si="5"/>
        <v>78.105897273303739</v>
      </c>
      <c r="AC28" t="str">
        <f>IF(Marketing_data[[#This Row],[ROI]]&gt;0.3,"High ROI","Low ROI")</f>
        <v>High ROI</v>
      </c>
      <c r="AD28" t="e" cm="1" vm="1">
        <f t="array" aca="1" ref="AD28" ca="1">_xlfn.IFS(P:P&gt;0.5,"Excellent",
ROI&gt;0.3,"Good",
ROI&gt;0.1,"Average",
TRUE,"Poor")</f>
        <v>#VALUE!</v>
      </c>
      <c r="AX28" s="6" t="s">
        <v>58</v>
      </c>
      <c r="AY28">
        <v>461.77000000000004</v>
      </c>
      <c r="AZ28">
        <v>54774990</v>
      </c>
      <c r="BA28">
        <v>25342.750000000004</v>
      </c>
      <c r="BG28" s="6" t="s">
        <v>27</v>
      </c>
      <c r="BH28">
        <v>37309</v>
      </c>
      <c r="BI28">
        <v>11527940</v>
      </c>
    </row>
    <row r="29" spans="1:61" x14ac:dyDescent="0.3">
      <c r="A29">
        <v>3866</v>
      </c>
      <c r="B29">
        <v>5.99</v>
      </c>
      <c r="C29" s="1">
        <v>232</v>
      </c>
      <c r="D29">
        <v>34.950000000000003</v>
      </c>
      <c r="E29">
        <v>81</v>
      </c>
      <c r="F29">
        <v>69.099999999999994</v>
      </c>
      <c r="G29">
        <v>56</v>
      </c>
      <c r="H29">
        <v>1080</v>
      </c>
      <c r="I29" s="1">
        <v>60480</v>
      </c>
      <c r="J29">
        <v>44695</v>
      </c>
      <c r="K29" s="1">
        <v>10251</v>
      </c>
      <c r="L29">
        <v>44.2</v>
      </c>
      <c r="M29">
        <v>126.6</v>
      </c>
      <c r="N29">
        <v>183.1</v>
      </c>
      <c r="O29">
        <v>5534</v>
      </c>
      <c r="P29">
        <v>53.98</v>
      </c>
      <c r="Q29" t="s">
        <v>22</v>
      </c>
      <c r="R29" t="s">
        <v>27</v>
      </c>
      <c r="S29" t="s">
        <v>31</v>
      </c>
      <c r="T29" t="s">
        <v>34</v>
      </c>
      <c r="U29" t="s">
        <v>37</v>
      </c>
      <c r="V29" t="s">
        <v>41</v>
      </c>
      <c r="W29" s="2">
        <f t="shared" si="1"/>
        <v>1.5494050698396276E-3</v>
      </c>
      <c r="X29">
        <f t="shared" si="2"/>
        <v>0.34913793103448276</v>
      </c>
      <c r="Y29">
        <f t="shared" si="3"/>
        <v>44.185344827586206</v>
      </c>
      <c r="Z29">
        <f t="shared" si="4"/>
        <v>293.30472103004291</v>
      </c>
      <c r="AA29" s="4">
        <f t="shared" si="0"/>
        <v>15785</v>
      </c>
      <c r="AB29" s="3">
        <f t="shared" si="5"/>
        <v>4.8999122036874452</v>
      </c>
      <c r="AC29" t="str">
        <f>IF(Marketing_data[[#This Row],[ROI]]&gt;0.3,"High ROI","Low ROI")</f>
        <v>High ROI</v>
      </c>
      <c r="AD29" t="e" cm="1" vm="1">
        <f t="array" aca="1" ref="AD29" ca="1">_xlfn.IFS(P:P&gt;0.5,"Excellent",
ROI&gt;0.3,"Good",
ROI&gt;0.1,"Average",
TRUE,"Poor")</f>
        <v>#VALUE!</v>
      </c>
      <c r="BG29" s="6" t="s">
        <v>26</v>
      </c>
      <c r="BH29">
        <v>84431</v>
      </c>
      <c r="BI29">
        <v>19172470</v>
      </c>
    </row>
    <row r="30" spans="1:61" x14ac:dyDescent="0.3">
      <c r="A30">
        <v>31257</v>
      </c>
      <c r="B30">
        <v>3.39</v>
      </c>
      <c r="C30" s="1">
        <v>1060</v>
      </c>
      <c r="D30">
        <v>34.909999999999997</v>
      </c>
      <c r="E30">
        <v>370</v>
      </c>
      <c r="F30">
        <v>57.3</v>
      </c>
      <c r="G30">
        <v>212</v>
      </c>
      <c r="H30">
        <v>4070</v>
      </c>
      <c r="I30" s="1">
        <v>862840</v>
      </c>
      <c r="J30">
        <v>773967</v>
      </c>
      <c r="K30" s="1">
        <v>8177</v>
      </c>
      <c r="L30">
        <v>7.7</v>
      </c>
      <c r="M30">
        <v>22.1</v>
      </c>
      <c r="N30">
        <v>38.6</v>
      </c>
      <c r="O30">
        <v>80696</v>
      </c>
      <c r="P30">
        <v>986.87</v>
      </c>
      <c r="Q30" t="s">
        <v>24</v>
      </c>
      <c r="R30" t="s">
        <v>28</v>
      </c>
      <c r="S30" t="s">
        <v>32</v>
      </c>
      <c r="T30" t="s">
        <v>36</v>
      </c>
      <c r="U30" t="s">
        <v>38</v>
      </c>
      <c r="V30" t="s">
        <v>41</v>
      </c>
      <c r="W30" s="2">
        <f t="shared" si="1"/>
        <v>1.084557059218735E-4</v>
      </c>
      <c r="X30">
        <f t="shared" si="2"/>
        <v>0.34905660377358488</v>
      </c>
      <c r="Y30">
        <f t="shared" si="3"/>
        <v>7.7141509433962261</v>
      </c>
      <c r="Z30">
        <f t="shared" si="4"/>
        <v>234.23087940418222</v>
      </c>
      <c r="AA30" s="4">
        <f t="shared" si="0"/>
        <v>88873</v>
      </c>
      <c r="AB30" s="3">
        <f t="shared" si="5"/>
        <v>104.52036199095022</v>
      </c>
      <c r="AC30" t="str">
        <f>IF(Marketing_data[[#This Row],[ROI]]&gt;0.3,"High ROI","Low ROI")</f>
        <v>High ROI</v>
      </c>
      <c r="AD30" t="e" cm="1" vm="1">
        <f t="array" aca="1" ref="AD30" ca="1">_xlfn.IFS(P:P&gt;0.5,"Excellent",
ROI&gt;0.3,"Good",
ROI&gt;0.1,"Average",
TRUE,"Poor")</f>
        <v>#VALUE!</v>
      </c>
      <c r="BG30" s="6" t="s">
        <v>58</v>
      </c>
      <c r="BH30">
        <v>199030</v>
      </c>
      <c r="BI30">
        <v>54774990</v>
      </c>
    </row>
    <row r="31" spans="1:61" x14ac:dyDescent="0.3">
      <c r="A31">
        <v>10509</v>
      </c>
      <c r="B31">
        <v>5.31</v>
      </c>
      <c r="C31" s="1">
        <v>558</v>
      </c>
      <c r="D31">
        <v>43.15</v>
      </c>
      <c r="E31">
        <v>241</v>
      </c>
      <c r="F31">
        <v>71.3</v>
      </c>
      <c r="G31">
        <v>172</v>
      </c>
      <c r="H31">
        <v>1430</v>
      </c>
      <c r="I31" s="1">
        <v>245960</v>
      </c>
      <c r="J31">
        <v>215707</v>
      </c>
      <c r="K31" s="1">
        <v>26670</v>
      </c>
      <c r="L31">
        <v>47.8</v>
      </c>
      <c r="M31">
        <v>110.7</v>
      </c>
      <c r="N31">
        <v>155.1</v>
      </c>
      <c r="O31">
        <v>3583</v>
      </c>
      <c r="P31">
        <v>13.43</v>
      </c>
      <c r="Q31" t="s">
        <v>24</v>
      </c>
      <c r="R31" t="s">
        <v>27</v>
      </c>
      <c r="S31" t="s">
        <v>31</v>
      </c>
      <c r="T31" t="s">
        <v>34</v>
      </c>
      <c r="U31" t="s">
        <v>38</v>
      </c>
      <c r="V31" t="s">
        <v>42</v>
      </c>
      <c r="W31" s="2">
        <f t="shared" si="1"/>
        <v>5.0528118755352556E-4</v>
      </c>
      <c r="X31">
        <f t="shared" si="2"/>
        <v>0.43189964157706096</v>
      </c>
      <c r="Y31">
        <f t="shared" si="3"/>
        <v>47.795698924731184</v>
      </c>
      <c r="Z31">
        <f t="shared" si="4"/>
        <v>618.07647740440325</v>
      </c>
      <c r="AA31" s="4">
        <f t="shared" si="0"/>
        <v>30253</v>
      </c>
      <c r="AB31" s="3">
        <f t="shared" si="5"/>
        <v>8.2223472065991743</v>
      </c>
      <c r="AC31" t="str">
        <f>IF(Marketing_data[[#This Row],[ROI]]&gt;0.3,"High ROI","Low ROI")</f>
        <v>High ROI</v>
      </c>
      <c r="AD31" t="e" cm="1" vm="1">
        <f t="array" aca="1" ref="AD31" ca="1">_xlfn.IFS(P:P&gt;0.5,"Excellent",
ROI&gt;0.3,"Good",
ROI&gt;0.1,"Average",
TRUE,"Poor")</f>
        <v>#VALUE!</v>
      </c>
    </row>
    <row r="32" spans="1:61" x14ac:dyDescent="0.3">
      <c r="A32">
        <v>22471</v>
      </c>
      <c r="B32">
        <v>3.9</v>
      </c>
      <c r="C32" s="1">
        <v>876</v>
      </c>
      <c r="D32">
        <v>35.85</v>
      </c>
      <c r="E32">
        <v>314</v>
      </c>
      <c r="F32">
        <v>60.6</v>
      </c>
      <c r="G32">
        <v>190</v>
      </c>
      <c r="H32">
        <v>990</v>
      </c>
      <c r="I32" s="1">
        <v>188100</v>
      </c>
      <c r="J32">
        <v>149351</v>
      </c>
      <c r="K32" s="1">
        <v>10373</v>
      </c>
      <c r="L32">
        <v>11.8</v>
      </c>
      <c r="M32">
        <v>33</v>
      </c>
      <c r="N32">
        <v>54.6</v>
      </c>
      <c r="O32">
        <v>28376</v>
      </c>
      <c r="P32">
        <v>273.56</v>
      </c>
      <c r="Q32" t="s">
        <v>23</v>
      </c>
      <c r="R32" t="s">
        <v>26</v>
      </c>
      <c r="S32" t="s">
        <v>33</v>
      </c>
      <c r="T32" t="s">
        <v>34</v>
      </c>
      <c r="U32" t="s">
        <v>40</v>
      </c>
      <c r="V32" t="s">
        <v>41</v>
      </c>
      <c r="W32" s="2">
        <f t="shared" si="1"/>
        <v>1.7355702905967691E-4</v>
      </c>
      <c r="X32">
        <f t="shared" si="2"/>
        <v>0.35844748858447489</v>
      </c>
      <c r="Y32">
        <f t="shared" si="3"/>
        <v>11.841324200913242</v>
      </c>
      <c r="Z32">
        <f t="shared" si="4"/>
        <v>289.34449093444908</v>
      </c>
      <c r="AA32" s="4">
        <f t="shared" si="0"/>
        <v>38749</v>
      </c>
      <c r="AB32" s="3">
        <f t="shared" si="5"/>
        <v>17.133616118769883</v>
      </c>
      <c r="AC32" t="str">
        <f>IF(Marketing_data[[#This Row],[ROI]]&gt;0.3,"High ROI","Low ROI")</f>
        <v>High ROI</v>
      </c>
      <c r="AD32" t="e" cm="1" vm="1">
        <f t="array" aca="1" ref="AD32" ca="1">_xlfn.IFS(P:P&gt;0.5,"Excellent",
ROI&gt;0.3,"Good",
ROI&gt;0.1,"Average",
TRUE,"Poor")</f>
        <v>#VALUE!</v>
      </c>
    </row>
    <row r="33" spans="1:61" x14ac:dyDescent="0.3">
      <c r="A33">
        <v>102744</v>
      </c>
      <c r="B33">
        <v>7.39</v>
      </c>
      <c r="C33" s="1">
        <v>7593</v>
      </c>
      <c r="D33">
        <v>25.99</v>
      </c>
      <c r="E33">
        <v>1973</v>
      </c>
      <c r="F33">
        <v>66.7</v>
      </c>
      <c r="G33">
        <v>1316</v>
      </c>
      <c r="H33">
        <v>1370</v>
      </c>
      <c r="I33" s="1">
        <v>1802920</v>
      </c>
      <c r="J33">
        <v>1483803</v>
      </c>
      <c r="K33" s="1">
        <v>16310</v>
      </c>
      <c r="L33">
        <v>2.1</v>
      </c>
      <c r="M33">
        <v>8.3000000000000007</v>
      </c>
      <c r="N33">
        <v>12.4</v>
      </c>
      <c r="O33">
        <v>302807</v>
      </c>
      <c r="P33">
        <v>1856.57</v>
      </c>
      <c r="Q33" t="s">
        <v>23</v>
      </c>
      <c r="R33" t="s">
        <v>26</v>
      </c>
      <c r="S33" t="s">
        <v>30</v>
      </c>
      <c r="T33" t="s">
        <v>35</v>
      </c>
      <c r="U33" t="s">
        <v>40</v>
      </c>
      <c r="V33" t="s">
        <v>43</v>
      </c>
      <c r="W33" s="2">
        <f t="shared" si="1"/>
        <v>7.1926341197539517E-5</v>
      </c>
      <c r="X33">
        <f t="shared" si="2"/>
        <v>0.25984459370472807</v>
      </c>
      <c r="Y33">
        <f t="shared" si="3"/>
        <v>2.1480310812590542</v>
      </c>
      <c r="Z33">
        <f t="shared" si="4"/>
        <v>627.54905732974225</v>
      </c>
      <c r="AA33" s="4">
        <f t="shared" si="0"/>
        <v>319117</v>
      </c>
      <c r="AB33" s="3">
        <f t="shared" si="5"/>
        <v>109.54077253218884</v>
      </c>
      <c r="AC33" t="str">
        <f>IF(Marketing_data[[#This Row],[ROI]]&gt;0.3,"High ROI","Low ROI")</f>
        <v>High ROI</v>
      </c>
      <c r="AD33" t="e" cm="1" vm="1">
        <f t="array" aca="1" ref="AD33" ca="1">_xlfn.IFS(P:P&gt;0.5,"Excellent",
ROI&gt;0.3,"Good",
ROI&gt;0.1,"Average",
TRUE,"Poor")</f>
        <v>#VALUE!</v>
      </c>
    </row>
    <row r="34" spans="1:61" x14ac:dyDescent="0.3">
      <c r="A34">
        <v>124244</v>
      </c>
      <c r="B34">
        <v>4.76</v>
      </c>
      <c r="C34" s="1">
        <v>5914</v>
      </c>
      <c r="D34">
        <v>18.82</v>
      </c>
      <c r="E34">
        <v>1113</v>
      </c>
      <c r="F34">
        <v>59.1</v>
      </c>
      <c r="G34">
        <v>658</v>
      </c>
      <c r="H34">
        <v>1410</v>
      </c>
      <c r="I34" s="1">
        <v>927780</v>
      </c>
      <c r="J34">
        <v>769130</v>
      </c>
      <c r="K34" s="1">
        <v>17276</v>
      </c>
      <c r="L34">
        <v>2.9</v>
      </c>
      <c r="M34">
        <v>15.5</v>
      </c>
      <c r="N34">
        <v>26.3</v>
      </c>
      <c r="O34">
        <v>141374</v>
      </c>
      <c r="P34">
        <v>818.33</v>
      </c>
      <c r="Q34" t="s">
        <v>24</v>
      </c>
      <c r="R34" t="s">
        <v>28</v>
      </c>
      <c r="S34" t="s">
        <v>32</v>
      </c>
      <c r="T34" t="s">
        <v>34</v>
      </c>
      <c r="U34" t="s">
        <v>38</v>
      </c>
      <c r="V34" t="s">
        <v>43</v>
      </c>
      <c r="W34" s="2">
        <f t="shared" ref="W34:W65" si="6">B34/A34</f>
        <v>3.8311709217346512E-5</v>
      </c>
      <c r="X34">
        <f t="shared" ref="X34:X65" si="7">E34/C34</f>
        <v>0.18819749746364559</v>
      </c>
      <c r="Y34">
        <f t="shared" ref="Y34:Y65" si="8">K34/C34</f>
        <v>2.9212039228948257</v>
      </c>
      <c r="Z34">
        <f t="shared" ref="Z34:Z65" si="9">K34/D34</f>
        <v>917.95961742826773</v>
      </c>
      <c r="AA34" s="4">
        <f t="shared" ref="AA34:AA65" si="10">I34-J34</f>
        <v>158650</v>
      </c>
      <c r="AB34" s="3">
        <f t="shared" ref="AB34:AB65" si="11">(I34-K34)/K34</f>
        <v>52.703403565640194</v>
      </c>
      <c r="AC34" t="str">
        <f>IF(Marketing_data[[#This Row],[ROI]]&gt;0.3,"High ROI","Low ROI")</f>
        <v>High ROI</v>
      </c>
      <c r="AD34" t="e" cm="1" vm="1">
        <f t="array" aca="1" ref="AD34" ca="1">_xlfn.IFS(P:P&gt;0.5,"Excellent",
ROI&gt;0.3,"Good",
ROI&gt;0.1,"Average",
TRUE,"Poor")</f>
        <v>#VALUE!</v>
      </c>
    </row>
    <row r="35" spans="1:61" x14ac:dyDescent="0.3">
      <c r="A35">
        <v>1920</v>
      </c>
      <c r="B35">
        <v>6.3</v>
      </c>
      <c r="C35" s="1">
        <v>121</v>
      </c>
      <c r="D35">
        <v>45.48</v>
      </c>
      <c r="E35">
        <v>55</v>
      </c>
      <c r="F35">
        <v>66.599999999999994</v>
      </c>
      <c r="G35">
        <v>37</v>
      </c>
      <c r="H35">
        <v>950</v>
      </c>
      <c r="I35" s="1">
        <v>35150</v>
      </c>
      <c r="J35">
        <v>26152</v>
      </c>
      <c r="K35" s="1">
        <v>39980</v>
      </c>
      <c r="L35">
        <v>330.4</v>
      </c>
      <c r="M35">
        <v>726.9</v>
      </c>
      <c r="N35">
        <v>1080.5</v>
      </c>
      <c r="O35">
        <v>-30982</v>
      </c>
      <c r="P35">
        <v>-77.489999999999995</v>
      </c>
      <c r="Q35" t="s">
        <v>22</v>
      </c>
      <c r="R35" t="s">
        <v>29</v>
      </c>
      <c r="S35" t="s">
        <v>30</v>
      </c>
      <c r="T35" t="s">
        <v>36</v>
      </c>
      <c r="U35" t="s">
        <v>39</v>
      </c>
      <c r="V35" t="s">
        <v>41</v>
      </c>
      <c r="W35" s="2">
        <f t="shared" si="6"/>
        <v>3.2812499999999999E-3</v>
      </c>
      <c r="X35">
        <f t="shared" si="7"/>
        <v>0.45454545454545453</v>
      </c>
      <c r="Y35">
        <f t="shared" si="8"/>
        <v>330.41322314049586</v>
      </c>
      <c r="Z35">
        <f t="shared" si="9"/>
        <v>879.06772207563768</v>
      </c>
      <c r="AA35" s="4">
        <f t="shared" si="10"/>
        <v>8998</v>
      </c>
      <c r="AB35" s="3">
        <f t="shared" si="11"/>
        <v>-0.12081040520260131</v>
      </c>
      <c r="AC35" t="str">
        <f>IF(Marketing_data[[#This Row],[ROI]]&gt;0.3,"High ROI","Low ROI")</f>
        <v>Low ROI</v>
      </c>
      <c r="AD35" t="e" cm="1" vm="1">
        <f t="array" aca="1" ref="AD35" ca="1">_xlfn.IFS(P:P&gt;0.5,"Excellent",
ROI&gt;0.3,"Good",
ROI&gt;0.1,"Average",
TRUE,"Poor")</f>
        <v>#VALUE!</v>
      </c>
    </row>
    <row r="36" spans="1:61" x14ac:dyDescent="0.3">
      <c r="A36">
        <v>41773</v>
      </c>
      <c r="B36">
        <v>2.8</v>
      </c>
      <c r="C36" s="1">
        <v>1170</v>
      </c>
      <c r="D36">
        <v>29.24</v>
      </c>
      <c r="E36">
        <v>342</v>
      </c>
      <c r="F36">
        <v>46.9</v>
      </c>
      <c r="G36">
        <v>160</v>
      </c>
      <c r="H36">
        <v>1230</v>
      </c>
      <c r="I36" s="1">
        <v>196800</v>
      </c>
      <c r="J36">
        <v>195029</v>
      </c>
      <c r="K36" s="1">
        <v>17970</v>
      </c>
      <c r="L36">
        <v>15.4</v>
      </c>
      <c r="M36">
        <v>52.5</v>
      </c>
      <c r="N36">
        <v>112.3</v>
      </c>
      <c r="O36">
        <v>-16199</v>
      </c>
      <c r="P36">
        <v>-90.14</v>
      </c>
      <c r="Q36" t="s">
        <v>25</v>
      </c>
      <c r="R36" t="s">
        <v>28</v>
      </c>
      <c r="S36" t="s">
        <v>33</v>
      </c>
      <c r="T36" t="s">
        <v>34</v>
      </c>
      <c r="U36" t="s">
        <v>38</v>
      </c>
      <c r="V36" t="s">
        <v>41</v>
      </c>
      <c r="W36" s="2">
        <f t="shared" si="6"/>
        <v>6.7028942139659578E-5</v>
      </c>
      <c r="X36">
        <f t="shared" si="7"/>
        <v>0.29230769230769232</v>
      </c>
      <c r="Y36">
        <f t="shared" si="8"/>
        <v>15.358974358974359</v>
      </c>
      <c r="Z36">
        <f t="shared" si="9"/>
        <v>614.56908344733245</v>
      </c>
      <c r="AA36" s="4">
        <f t="shared" si="10"/>
        <v>1771</v>
      </c>
      <c r="AB36" s="3">
        <f t="shared" si="11"/>
        <v>9.9515859766277135</v>
      </c>
      <c r="AC36" t="str">
        <f>IF(Marketing_data[[#This Row],[ROI]]&gt;0.3,"High ROI","Low ROI")</f>
        <v>Low ROI</v>
      </c>
      <c r="AD36" t="e" cm="1" vm="1">
        <f t="array" aca="1" ref="AD36" ca="1">_xlfn.IFS(P:P&gt;0.5,"Excellent",
ROI&gt;0.3,"Good",
ROI&gt;0.1,"Average",
TRUE,"Poor")</f>
        <v>#VALUE!</v>
      </c>
    </row>
    <row r="37" spans="1:61" x14ac:dyDescent="0.3">
      <c r="A37">
        <v>6124</v>
      </c>
      <c r="B37">
        <v>4.4400000000000004</v>
      </c>
      <c r="C37" s="1">
        <v>272</v>
      </c>
      <c r="D37">
        <v>27.31</v>
      </c>
      <c r="E37">
        <v>74</v>
      </c>
      <c r="F37">
        <v>70.3</v>
      </c>
      <c r="G37">
        <v>52</v>
      </c>
      <c r="H37">
        <v>1450</v>
      </c>
      <c r="I37" s="1">
        <v>75400</v>
      </c>
      <c r="J37">
        <v>67634</v>
      </c>
      <c r="K37" s="1">
        <v>15260</v>
      </c>
      <c r="L37">
        <v>56.1</v>
      </c>
      <c r="M37">
        <v>206.2</v>
      </c>
      <c r="N37">
        <v>293.5</v>
      </c>
      <c r="O37">
        <v>-7494</v>
      </c>
      <c r="P37">
        <v>-49.11</v>
      </c>
      <c r="Q37" t="s">
        <v>23</v>
      </c>
      <c r="R37" t="s">
        <v>26</v>
      </c>
      <c r="S37" t="s">
        <v>32</v>
      </c>
      <c r="T37" t="s">
        <v>36</v>
      </c>
      <c r="U37" t="s">
        <v>38</v>
      </c>
      <c r="V37" t="s">
        <v>41</v>
      </c>
      <c r="W37" s="2">
        <f t="shared" si="6"/>
        <v>7.2501632919660356E-4</v>
      </c>
      <c r="X37">
        <f t="shared" si="7"/>
        <v>0.27205882352941174</v>
      </c>
      <c r="Y37">
        <f t="shared" si="8"/>
        <v>56.102941176470587</v>
      </c>
      <c r="Z37">
        <f t="shared" si="9"/>
        <v>558.76968143537169</v>
      </c>
      <c r="AA37" s="4">
        <f t="shared" si="10"/>
        <v>7766</v>
      </c>
      <c r="AB37" s="3">
        <f t="shared" si="11"/>
        <v>3.9410222804718216</v>
      </c>
      <c r="AC37" t="str">
        <f>IF(Marketing_data[[#This Row],[ROI]]&gt;0.3,"High ROI","Low ROI")</f>
        <v>Low ROI</v>
      </c>
      <c r="AD37" t="e" cm="1" vm="1">
        <f t="array" aca="1" ref="AD37" ca="1">_xlfn.IFS(P:P&gt;0.5,"Excellent",
ROI&gt;0.3,"Good",
ROI&gt;0.1,"Average",
TRUE,"Poor")</f>
        <v>#VALUE!</v>
      </c>
    </row>
    <row r="38" spans="1:61" x14ac:dyDescent="0.3">
      <c r="A38">
        <v>5219</v>
      </c>
      <c r="B38">
        <v>2.72</v>
      </c>
      <c r="C38" s="1">
        <v>142</v>
      </c>
      <c r="D38">
        <v>31.25</v>
      </c>
      <c r="E38">
        <v>44</v>
      </c>
      <c r="F38">
        <v>59</v>
      </c>
      <c r="G38">
        <v>26</v>
      </c>
      <c r="H38">
        <v>1200</v>
      </c>
      <c r="I38" s="1">
        <v>31200</v>
      </c>
      <c r="J38">
        <v>26208</v>
      </c>
      <c r="K38" s="1">
        <v>12618</v>
      </c>
      <c r="L38">
        <v>88.9</v>
      </c>
      <c r="M38">
        <v>286.8</v>
      </c>
      <c r="N38">
        <v>485.3</v>
      </c>
      <c r="O38">
        <v>-7626</v>
      </c>
      <c r="P38">
        <v>-60.44</v>
      </c>
      <c r="Q38" t="s">
        <v>24</v>
      </c>
      <c r="R38" t="s">
        <v>27</v>
      </c>
      <c r="S38" t="s">
        <v>32</v>
      </c>
      <c r="T38" t="s">
        <v>34</v>
      </c>
      <c r="U38" t="s">
        <v>40</v>
      </c>
      <c r="V38" t="s">
        <v>41</v>
      </c>
      <c r="W38" s="2">
        <f t="shared" si="6"/>
        <v>5.2117263843648215E-4</v>
      </c>
      <c r="X38">
        <f t="shared" si="7"/>
        <v>0.30985915492957744</v>
      </c>
      <c r="Y38">
        <f t="shared" si="8"/>
        <v>88.859154929577471</v>
      </c>
      <c r="Z38">
        <f t="shared" si="9"/>
        <v>403.77600000000001</v>
      </c>
      <c r="AA38" s="4">
        <f t="shared" si="10"/>
        <v>4992</v>
      </c>
      <c r="AB38" s="3">
        <f t="shared" si="11"/>
        <v>1.4726581074655254</v>
      </c>
      <c r="AC38" t="str">
        <f>IF(Marketing_data[[#This Row],[ROI]]&gt;0.3,"High ROI","Low ROI")</f>
        <v>Low ROI</v>
      </c>
      <c r="AD38" t="e" cm="1" vm="1">
        <f t="array" aca="1" ref="AD38" ca="1">_xlfn.IFS(P:P&gt;0.5,"Excellent",
ROI&gt;0.3,"Good",
ROI&gt;0.1,"Average",
TRUE,"Poor")</f>
        <v>#VALUE!</v>
      </c>
    </row>
    <row r="39" spans="1:61" x14ac:dyDescent="0.3">
      <c r="A39">
        <v>1998</v>
      </c>
      <c r="B39">
        <v>2.89</v>
      </c>
      <c r="C39" s="1">
        <v>58</v>
      </c>
      <c r="D39">
        <v>52.55</v>
      </c>
      <c r="E39">
        <v>30</v>
      </c>
      <c r="F39">
        <v>66.599999999999994</v>
      </c>
      <c r="G39">
        <v>20</v>
      </c>
      <c r="H39">
        <v>1080</v>
      </c>
      <c r="I39" s="1">
        <v>21600</v>
      </c>
      <c r="J39">
        <v>19958</v>
      </c>
      <c r="K39" s="1">
        <v>16305</v>
      </c>
      <c r="L39">
        <v>281.10000000000002</v>
      </c>
      <c r="M39">
        <v>543.5</v>
      </c>
      <c r="N39">
        <v>815.3</v>
      </c>
      <c r="O39">
        <v>-14663</v>
      </c>
      <c r="P39">
        <v>-89.93</v>
      </c>
      <c r="Q39" t="s">
        <v>22</v>
      </c>
      <c r="R39" t="s">
        <v>29</v>
      </c>
      <c r="S39" t="s">
        <v>33</v>
      </c>
      <c r="T39" t="s">
        <v>34</v>
      </c>
      <c r="U39" t="s">
        <v>37</v>
      </c>
      <c r="V39" t="s">
        <v>41</v>
      </c>
      <c r="W39" s="2">
        <f t="shared" si="6"/>
        <v>1.4464464464464465E-3</v>
      </c>
      <c r="X39">
        <f t="shared" si="7"/>
        <v>0.51724137931034486</v>
      </c>
      <c r="Y39">
        <f t="shared" si="8"/>
        <v>281.12068965517244</v>
      </c>
      <c r="Z39">
        <f t="shared" si="9"/>
        <v>310.27592768791629</v>
      </c>
      <c r="AA39" s="4">
        <f t="shared" si="10"/>
        <v>1642</v>
      </c>
      <c r="AB39" s="3">
        <f t="shared" si="11"/>
        <v>0.32474701011959523</v>
      </c>
      <c r="AC39" t="str">
        <f>IF(Marketing_data[[#This Row],[ROI]]&gt;0.3,"High ROI","Low ROI")</f>
        <v>Low ROI</v>
      </c>
      <c r="AD39" t="e" cm="1" vm="1">
        <f t="array" aca="1" ref="AD39" ca="1">_xlfn.IFS(P:P&gt;0.5,"Excellent",
ROI&gt;0.3,"Good",
ROI&gt;0.1,"Average",
TRUE,"Poor")</f>
        <v>#VALUE!</v>
      </c>
      <c r="BG39" s="5" t="s">
        <v>57</v>
      </c>
      <c r="BH39" t="s">
        <v>61</v>
      </c>
      <c r="BI39" t="s">
        <v>64</v>
      </c>
    </row>
    <row r="40" spans="1:61" x14ac:dyDescent="0.3">
      <c r="A40">
        <v>147267</v>
      </c>
      <c r="B40">
        <v>5.93</v>
      </c>
      <c r="C40" s="1">
        <v>8733</v>
      </c>
      <c r="D40">
        <v>28.61</v>
      </c>
      <c r="E40">
        <v>2499</v>
      </c>
      <c r="F40">
        <v>58.4</v>
      </c>
      <c r="G40">
        <v>1459</v>
      </c>
      <c r="H40">
        <v>1460</v>
      </c>
      <c r="I40" s="1">
        <v>2130140</v>
      </c>
      <c r="J40">
        <v>1972510</v>
      </c>
      <c r="K40" s="1">
        <v>21568</v>
      </c>
      <c r="L40">
        <v>2.5</v>
      </c>
      <c r="M40">
        <v>8.6</v>
      </c>
      <c r="N40">
        <v>14.8</v>
      </c>
      <c r="O40">
        <v>136062</v>
      </c>
      <c r="P40">
        <v>630.85</v>
      </c>
      <c r="Q40" t="s">
        <v>23</v>
      </c>
      <c r="R40" t="s">
        <v>29</v>
      </c>
      <c r="S40" t="s">
        <v>31</v>
      </c>
      <c r="T40" t="s">
        <v>34</v>
      </c>
      <c r="U40" t="s">
        <v>39</v>
      </c>
      <c r="V40" t="s">
        <v>41</v>
      </c>
      <c r="W40" s="2">
        <f t="shared" si="6"/>
        <v>4.0266998037578E-5</v>
      </c>
      <c r="X40">
        <f t="shared" si="7"/>
        <v>0.2861559601511508</v>
      </c>
      <c r="Y40">
        <f t="shared" si="8"/>
        <v>2.469712584449788</v>
      </c>
      <c r="Z40">
        <f t="shared" si="9"/>
        <v>753.86228591401607</v>
      </c>
      <c r="AA40" s="4">
        <f t="shared" si="10"/>
        <v>157630</v>
      </c>
      <c r="AB40" s="3">
        <f t="shared" si="11"/>
        <v>97.763909495548958</v>
      </c>
      <c r="AC40" t="str">
        <f>IF(Marketing_data[[#This Row],[ROI]]&gt;0.3,"High ROI","Low ROI")</f>
        <v>High ROI</v>
      </c>
      <c r="AD40" t="e" cm="1" vm="1">
        <f t="array" aca="1" ref="AD40" ca="1">_xlfn.IFS(P:P&gt;0.5,"Excellent",
ROI&gt;0.3,"Good",
ROI&gt;0.1,"Average",
TRUE,"Poor")</f>
        <v>#VALUE!</v>
      </c>
      <c r="BG40" s="6" t="s">
        <v>37</v>
      </c>
      <c r="BH40">
        <v>14072</v>
      </c>
      <c r="BI40">
        <v>1577.9999999999998</v>
      </c>
    </row>
    <row r="41" spans="1:61" x14ac:dyDescent="0.3">
      <c r="A41">
        <v>1339</v>
      </c>
      <c r="B41">
        <v>3.39</v>
      </c>
      <c r="C41" s="1">
        <v>45</v>
      </c>
      <c r="D41">
        <v>15.01</v>
      </c>
      <c r="E41">
        <v>7</v>
      </c>
      <c r="F41">
        <v>46.5</v>
      </c>
      <c r="G41">
        <v>3</v>
      </c>
      <c r="H41">
        <v>1360</v>
      </c>
      <c r="I41" s="1">
        <v>4080</v>
      </c>
      <c r="J41">
        <v>4019</v>
      </c>
      <c r="K41" s="1">
        <v>17423</v>
      </c>
      <c r="L41">
        <v>387.2</v>
      </c>
      <c r="M41">
        <v>2489</v>
      </c>
      <c r="N41">
        <v>5807.7</v>
      </c>
      <c r="O41">
        <v>-17362</v>
      </c>
      <c r="P41">
        <v>-99.65</v>
      </c>
      <c r="Q41" t="s">
        <v>23</v>
      </c>
      <c r="R41" t="s">
        <v>26</v>
      </c>
      <c r="S41" t="s">
        <v>33</v>
      </c>
      <c r="T41" t="s">
        <v>35</v>
      </c>
      <c r="U41" t="s">
        <v>40</v>
      </c>
      <c r="V41" t="s">
        <v>41</v>
      </c>
      <c r="W41" s="2">
        <f t="shared" si="6"/>
        <v>2.5317401045556387E-3</v>
      </c>
      <c r="X41">
        <f t="shared" si="7"/>
        <v>0.15555555555555556</v>
      </c>
      <c r="Y41">
        <f t="shared" si="8"/>
        <v>387.17777777777781</v>
      </c>
      <c r="Z41">
        <f t="shared" si="9"/>
        <v>1160.7594936708861</v>
      </c>
      <c r="AA41" s="4">
        <f t="shared" si="10"/>
        <v>61</v>
      </c>
      <c r="AB41" s="3">
        <f t="shared" si="11"/>
        <v>-0.76582678069218846</v>
      </c>
      <c r="AC41" t="str">
        <f>IF(Marketing_data[[#This Row],[ROI]]&gt;0.3,"High ROI","Low ROI")</f>
        <v>Low ROI</v>
      </c>
      <c r="AD41" t="e" cm="1" vm="1">
        <f t="array" aca="1" ref="AD41" ca="1">_xlfn.IFS(P:P&gt;0.5,"Excellent",
ROI&gt;0.3,"Good",
ROI&gt;0.1,"Average",
TRUE,"Poor")</f>
        <v>#VALUE!</v>
      </c>
      <c r="BG41" s="6" t="s">
        <v>40</v>
      </c>
      <c r="BH41">
        <v>15463</v>
      </c>
      <c r="BI41">
        <v>1717.9</v>
      </c>
    </row>
    <row r="42" spans="1:61" x14ac:dyDescent="0.3">
      <c r="A42">
        <v>31571</v>
      </c>
      <c r="B42">
        <v>4.95</v>
      </c>
      <c r="C42" s="1">
        <v>1563</v>
      </c>
      <c r="D42">
        <v>42.73</v>
      </c>
      <c r="E42">
        <v>668</v>
      </c>
      <c r="F42">
        <v>64.3</v>
      </c>
      <c r="G42">
        <v>430</v>
      </c>
      <c r="H42">
        <v>1420</v>
      </c>
      <c r="I42" s="1">
        <v>610600</v>
      </c>
      <c r="J42">
        <v>572132</v>
      </c>
      <c r="K42" s="1">
        <v>22572</v>
      </c>
      <c r="L42">
        <v>14.4</v>
      </c>
      <c r="M42">
        <v>33.799999999999997</v>
      </c>
      <c r="N42">
        <v>52.5</v>
      </c>
      <c r="O42">
        <v>15896</v>
      </c>
      <c r="P42">
        <v>70.42</v>
      </c>
      <c r="Q42" t="s">
        <v>22</v>
      </c>
      <c r="R42" t="s">
        <v>29</v>
      </c>
      <c r="S42" t="s">
        <v>32</v>
      </c>
      <c r="T42" t="s">
        <v>35</v>
      </c>
      <c r="U42" t="s">
        <v>40</v>
      </c>
      <c r="V42" t="s">
        <v>41</v>
      </c>
      <c r="W42" s="2">
        <f t="shared" si="6"/>
        <v>1.5678945868043457E-4</v>
      </c>
      <c r="X42">
        <f t="shared" si="7"/>
        <v>0.42738323736404349</v>
      </c>
      <c r="Y42">
        <f t="shared" si="8"/>
        <v>14.441458733205375</v>
      </c>
      <c r="Z42">
        <f t="shared" si="9"/>
        <v>528.24713316171312</v>
      </c>
      <c r="AA42" s="4">
        <f t="shared" si="10"/>
        <v>38468</v>
      </c>
      <c r="AB42" s="3">
        <f t="shared" si="11"/>
        <v>26.051213893319158</v>
      </c>
      <c r="AC42" t="str">
        <f>IF(Marketing_data[[#This Row],[ROI]]&gt;0.3,"High ROI","Low ROI")</f>
        <v>High ROI</v>
      </c>
      <c r="AD42" t="e" cm="1" vm="1">
        <f t="array" aca="1" ref="AD42" ca="1">_xlfn.IFS(P:P&gt;0.5,"Excellent",
ROI&gt;0.3,"Good",
ROI&gt;0.1,"Average",
TRUE,"Poor")</f>
        <v>#VALUE!</v>
      </c>
      <c r="BG42" s="6" t="s">
        <v>38</v>
      </c>
      <c r="BH42">
        <v>23845</v>
      </c>
      <c r="BI42">
        <v>2154.4999999999995</v>
      </c>
    </row>
    <row r="43" spans="1:61" x14ac:dyDescent="0.3">
      <c r="A43">
        <v>23861</v>
      </c>
      <c r="B43">
        <v>7.17</v>
      </c>
      <c r="C43" s="1">
        <v>1711</v>
      </c>
      <c r="D43">
        <v>51.53</v>
      </c>
      <c r="E43">
        <v>882</v>
      </c>
      <c r="F43">
        <v>71.8</v>
      </c>
      <c r="G43">
        <v>633</v>
      </c>
      <c r="H43">
        <v>1090</v>
      </c>
      <c r="I43" s="1">
        <v>689970</v>
      </c>
      <c r="J43">
        <v>580955</v>
      </c>
      <c r="K43" s="1">
        <v>37943</v>
      </c>
      <c r="L43">
        <v>22.2</v>
      </c>
      <c r="M43">
        <v>43</v>
      </c>
      <c r="N43">
        <v>59.9</v>
      </c>
      <c r="O43">
        <v>71072</v>
      </c>
      <c r="P43">
        <v>187.31</v>
      </c>
      <c r="Q43" t="s">
        <v>24</v>
      </c>
      <c r="R43" t="s">
        <v>28</v>
      </c>
      <c r="S43" t="s">
        <v>33</v>
      </c>
      <c r="T43" t="s">
        <v>34</v>
      </c>
      <c r="U43" t="s">
        <v>38</v>
      </c>
      <c r="V43" t="s">
        <v>42</v>
      </c>
      <c r="W43" s="2">
        <f t="shared" si="6"/>
        <v>3.0049033988516829E-4</v>
      </c>
      <c r="X43">
        <f t="shared" si="7"/>
        <v>0.51548801870251315</v>
      </c>
      <c r="Y43">
        <f t="shared" si="8"/>
        <v>22.175920514319113</v>
      </c>
      <c r="Z43">
        <f t="shared" si="9"/>
        <v>736.32835241606824</v>
      </c>
      <c r="AA43" s="4">
        <f t="shared" si="10"/>
        <v>109015</v>
      </c>
      <c r="AB43" s="3">
        <f t="shared" si="11"/>
        <v>17.184381835911761</v>
      </c>
      <c r="AC43" t="str">
        <f>IF(Marketing_data[[#This Row],[ROI]]&gt;0.3,"High ROI","Low ROI")</f>
        <v>High ROI</v>
      </c>
      <c r="AD43" t="e" cm="1" vm="1">
        <f t="array" aca="1" ref="AD43" ca="1">_xlfn.IFS(P:P&gt;0.5,"Excellent",
ROI&gt;0.3,"Good",
ROI&gt;0.1,"Average",
TRUE,"Poor")</f>
        <v>#VALUE!</v>
      </c>
      <c r="BG43" s="6" t="s">
        <v>39</v>
      </c>
      <c r="BH43">
        <v>9236</v>
      </c>
      <c r="BI43">
        <v>654.50000000000011</v>
      </c>
    </row>
    <row r="44" spans="1:61" x14ac:dyDescent="0.3">
      <c r="A44">
        <v>21590</v>
      </c>
      <c r="B44">
        <v>3.1</v>
      </c>
      <c r="C44" s="1">
        <v>669</v>
      </c>
      <c r="D44">
        <v>35.15</v>
      </c>
      <c r="E44">
        <v>235</v>
      </c>
      <c r="F44">
        <v>45.1</v>
      </c>
      <c r="G44">
        <v>106</v>
      </c>
      <c r="H44">
        <v>970</v>
      </c>
      <c r="I44" s="1">
        <v>102820</v>
      </c>
      <c r="J44">
        <v>118140</v>
      </c>
      <c r="K44" s="1">
        <v>14484</v>
      </c>
      <c r="L44">
        <v>21.7</v>
      </c>
      <c r="M44">
        <v>61.6</v>
      </c>
      <c r="N44">
        <v>136.6</v>
      </c>
      <c r="O44">
        <v>-29804</v>
      </c>
      <c r="P44">
        <v>-205.77</v>
      </c>
      <c r="Q44" t="s">
        <v>23</v>
      </c>
      <c r="R44" t="s">
        <v>29</v>
      </c>
      <c r="S44" t="s">
        <v>30</v>
      </c>
      <c r="T44" t="s">
        <v>36</v>
      </c>
      <c r="U44" t="s">
        <v>38</v>
      </c>
      <c r="V44" t="s">
        <v>41</v>
      </c>
      <c r="W44" s="2">
        <f t="shared" si="6"/>
        <v>1.4358499305233905E-4</v>
      </c>
      <c r="X44">
        <f t="shared" si="7"/>
        <v>0.35127055306427502</v>
      </c>
      <c r="Y44">
        <f t="shared" si="8"/>
        <v>21.650224215246638</v>
      </c>
      <c r="Z44">
        <f t="shared" si="9"/>
        <v>412.06258890469417</v>
      </c>
      <c r="AA44" s="4">
        <f t="shared" si="10"/>
        <v>-15320</v>
      </c>
      <c r="AB44" s="3">
        <f t="shared" si="11"/>
        <v>6.0988677161005249</v>
      </c>
      <c r="AC44" t="str">
        <f>IF(Marketing_data[[#This Row],[ROI]]&gt;0.3,"High ROI","Low ROI")</f>
        <v>Low ROI</v>
      </c>
      <c r="AD44" t="e" cm="1" vm="1">
        <f t="array" aca="1" ref="AD44" ca="1">_xlfn.IFS(P:P&gt;0.5,"Excellent",
ROI&gt;0.3,"Good",
ROI&gt;0.1,"Average",
TRUE,"Poor")</f>
        <v>#VALUE!</v>
      </c>
      <c r="BG44" s="6" t="s">
        <v>58</v>
      </c>
      <c r="BH44">
        <v>62616</v>
      </c>
      <c r="BI44">
        <v>6104.9</v>
      </c>
    </row>
    <row r="45" spans="1:61" x14ac:dyDescent="0.3">
      <c r="A45">
        <v>1188</v>
      </c>
      <c r="B45">
        <v>3.25</v>
      </c>
      <c r="C45" s="1">
        <v>39</v>
      </c>
      <c r="D45">
        <v>40.520000000000003</v>
      </c>
      <c r="E45">
        <v>16</v>
      </c>
      <c r="F45">
        <v>64.5</v>
      </c>
      <c r="G45">
        <v>10</v>
      </c>
      <c r="H45">
        <v>1110</v>
      </c>
      <c r="I45" s="1">
        <v>11100</v>
      </c>
      <c r="J45">
        <v>9602</v>
      </c>
      <c r="K45" s="1">
        <v>14352</v>
      </c>
      <c r="L45">
        <v>368</v>
      </c>
      <c r="M45">
        <v>897</v>
      </c>
      <c r="N45">
        <v>1435.2</v>
      </c>
      <c r="O45">
        <v>-12854</v>
      </c>
      <c r="P45">
        <v>-89.56</v>
      </c>
      <c r="Q45" t="s">
        <v>25</v>
      </c>
      <c r="R45" t="s">
        <v>28</v>
      </c>
      <c r="S45" t="s">
        <v>32</v>
      </c>
      <c r="T45" t="s">
        <v>34</v>
      </c>
      <c r="U45" t="s">
        <v>40</v>
      </c>
      <c r="V45" t="s">
        <v>43</v>
      </c>
      <c r="W45" s="2">
        <f t="shared" si="6"/>
        <v>2.7356902356902358E-3</v>
      </c>
      <c r="X45">
        <f t="shared" si="7"/>
        <v>0.41025641025641024</v>
      </c>
      <c r="Y45">
        <f t="shared" si="8"/>
        <v>368</v>
      </c>
      <c r="Z45">
        <f t="shared" si="9"/>
        <v>354.19545903257648</v>
      </c>
      <c r="AA45" s="4">
        <f t="shared" si="10"/>
        <v>1498</v>
      </c>
      <c r="AB45" s="3">
        <f t="shared" si="11"/>
        <v>-0.22658862876254179</v>
      </c>
      <c r="AC45" t="str">
        <f>IF(Marketing_data[[#This Row],[ROI]]&gt;0.3,"High ROI","Low ROI")</f>
        <v>Low ROI</v>
      </c>
      <c r="AD45" t="e" cm="1" vm="1">
        <f t="array" aca="1" ref="AD45" ca="1">_xlfn.IFS(P:P&gt;0.5,"Excellent",
ROI&gt;0.3,"Good",
ROI&gt;0.1,"Average",
TRUE,"Poor")</f>
        <v>#VALUE!</v>
      </c>
    </row>
    <row r="46" spans="1:61" x14ac:dyDescent="0.3">
      <c r="A46">
        <v>19732</v>
      </c>
      <c r="B46">
        <v>4.3899999999999997</v>
      </c>
      <c r="C46" s="1">
        <v>866</v>
      </c>
      <c r="D46">
        <v>43.65</v>
      </c>
      <c r="E46">
        <v>378</v>
      </c>
      <c r="F46">
        <v>60</v>
      </c>
      <c r="G46">
        <v>227</v>
      </c>
      <c r="H46">
        <v>1000</v>
      </c>
      <c r="I46" s="1">
        <v>227000</v>
      </c>
      <c r="J46">
        <v>208840</v>
      </c>
      <c r="K46" s="1">
        <v>22269</v>
      </c>
      <c r="L46">
        <v>25.7</v>
      </c>
      <c r="M46">
        <v>58.9</v>
      </c>
      <c r="N46">
        <v>98.1</v>
      </c>
      <c r="O46">
        <v>-4109</v>
      </c>
      <c r="P46">
        <v>-18.45</v>
      </c>
      <c r="Q46" t="s">
        <v>25</v>
      </c>
      <c r="R46" t="s">
        <v>27</v>
      </c>
      <c r="S46" t="s">
        <v>30</v>
      </c>
      <c r="T46" t="s">
        <v>34</v>
      </c>
      <c r="U46" t="s">
        <v>37</v>
      </c>
      <c r="V46" t="s">
        <v>41</v>
      </c>
      <c r="W46" s="2">
        <f t="shared" si="6"/>
        <v>2.2248124873302247E-4</v>
      </c>
      <c r="X46">
        <f t="shared" si="7"/>
        <v>0.43648960739030024</v>
      </c>
      <c r="Y46">
        <f t="shared" si="8"/>
        <v>25.714780600461893</v>
      </c>
      <c r="Z46">
        <f t="shared" si="9"/>
        <v>510.17182130584195</v>
      </c>
      <c r="AA46" s="4">
        <f t="shared" si="10"/>
        <v>18160</v>
      </c>
      <c r="AB46" s="3">
        <f t="shared" si="11"/>
        <v>9.1935425928420678</v>
      </c>
      <c r="AC46" t="str">
        <f>IF(Marketing_data[[#This Row],[ROI]]&gt;0.3,"High ROI","Low ROI")</f>
        <v>Low ROI</v>
      </c>
      <c r="AD46" t="e" cm="1" vm="1">
        <f t="array" aca="1" ref="AD46" ca="1">_xlfn.IFS(P:P&gt;0.5,"Excellent",
ROI&gt;0.3,"Good",
ROI&gt;0.1,"Average",
TRUE,"Poor")</f>
        <v>#VALUE!</v>
      </c>
    </row>
    <row r="47" spans="1:61" x14ac:dyDescent="0.3">
      <c r="A47">
        <v>90219</v>
      </c>
      <c r="B47">
        <v>4.4800000000000004</v>
      </c>
      <c r="C47" s="1">
        <v>4042</v>
      </c>
      <c r="D47">
        <v>16.86</v>
      </c>
      <c r="E47">
        <v>681</v>
      </c>
      <c r="F47">
        <v>51.9</v>
      </c>
      <c r="G47">
        <v>353</v>
      </c>
      <c r="H47">
        <v>5650</v>
      </c>
      <c r="I47" s="1">
        <v>1994450</v>
      </c>
      <c r="J47">
        <v>2136056</v>
      </c>
      <c r="K47" s="1">
        <v>18095</v>
      </c>
      <c r="L47">
        <v>4.5</v>
      </c>
      <c r="M47">
        <v>26.6</v>
      </c>
      <c r="N47">
        <v>51.3</v>
      </c>
      <c r="O47">
        <v>-159701</v>
      </c>
      <c r="P47">
        <v>-882.57</v>
      </c>
      <c r="Q47" t="s">
        <v>24</v>
      </c>
      <c r="R47" t="s">
        <v>26</v>
      </c>
      <c r="S47" t="s">
        <v>30</v>
      </c>
      <c r="T47" t="s">
        <v>36</v>
      </c>
      <c r="U47" t="s">
        <v>38</v>
      </c>
      <c r="V47" t="s">
        <v>42</v>
      </c>
      <c r="W47" s="2">
        <f t="shared" si="6"/>
        <v>4.9656945876145827E-5</v>
      </c>
      <c r="X47">
        <f t="shared" si="7"/>
        <v>0.16848095002474023</v>
      </c>
      <c r="Y47">
        <f t="shared" si="8"/>
        <v>4.4767441860465116</v>
      </c>
      <c r="Z47">
        <f t="shared" si="9"/>
        <v>1073.2502965599051</v>
      </c>
      <c r="AA47" s="4">
        <f t="shared" si="10"/>
        <v>-141606</v>
      </c>
      <c r="AB47" s="3">
        <f t="shared" si="11"/>
        <v>109.22105554020447</v>
      </c>
      <c r="AC47" t="str">
        <f>IF(Marketing_data[[#This Row],[ROI]]&gt;0.3,"High ROI","Low ROI")</f>
        <v>Low ROI</v>
      </c>
      <c r="AD47" t="e" cm="1" vm="1">
        <f t="array" aca="1" ref="AD47" ca="1">_xlfn.IFS(P:P&gt;0.5,"Excellent",
ROI&gt;0.3,"Good",
ROI&gt;0.1,"Average",
TRUE,"Poor")</f>
        <v>#VALUE!</v>
      </c>
    </row>
    <row r="48" spans="1:61" x14ac:dyDescent="0.3">
      <c r="A48">
        <v>6124</v>
      </c>
      <c r="B48">
        <v>2.8</v>
      </c>
      <c r="C48" s="1">
        <v>171</v>
      </c>
      <c r="D48">
        <v>43.35</v>
      </c>
      <c r="E48">
        <v>74</v>
      </c>
      <c r="F48">
        <v>64.400000000000006</v>
      </c>
      <c r="G48">
        <v>48</v>
      </c>
      <c r="H48">
        <v>1010</v>
      </c>
      <c r="I48" s="1">
        <v>48480</v>
      </c>
      <c r="J48">
        <v>36651</v>
      </c>
      <c r="K48" s="1">
        <v>14328</v>
      </c>
      <c r="L48">
        <v>83.8</v>
      </c>
      <c r="M48">
        <v>193.6</v>
      </c>
      <c r="N48">
        <v>298.5</v>
      </c>
      <c r="O48">
        <v>-2499</v>
      </c>
      <c r="P48">
        <v>-17.440000000000001</v>
      </c>
      <c r="Q48" t="s">
        <v>22</v>
      </c>
      <c r="R48" t="s">
        <v>29</v>
      </c>
      <c r="S48" t="s">
        <v>31</v>
      </c>
      <c r="T48" t="s">
        <v>36</v>
      </c>
      <c r="U48" t="s">
        <v>40</v>
      </c>
      <c r="V48" t="s">
        <v>41</v>
      </c>
      <c r="W48" s="2">
        <f t="shared" si="6"/>
        <v>4.5721750489875897E-4</v>
      </c>
      <c r="X48">
        <f t="shared" si="7"/>
        <v>0.43274853801169588</v>
      </c>
      <c r="Y48">
        <f t="shared" si="8"/>
        <v>83.78947368421052</v>
      </c>
      <c r="Z48">
        <f t="shared" si="9"/>
        <v>330.51903114186848</v>
      </c>
      <c r="AA48" s="4">
        <f t="shared" si="10"/>
        <v>11829</v>
      </c>
      <c r="AB48" s="3">
        <f t="shared" si="11"/>
        <v>2.3835845896147405</v>
      </c>
      <c r="AC48" t="str">
        <f>IF(Marketing_data[[#This Row],[ROI]]&gt;0.3,"High ROI","Low ROI")</f>
        <v>Low ROI</v>
      </c>
      <c r="AD48" t="e" cm="1" vm="1">
        <f t="array" aca="1" ref="AD48" ca="1">_xlfn.IFS(P:P&gt;0.5,"Excellent",
ROI&gt;0.3,"Good",
ROI&gt;0.1,"Average",
TRUE,"Poor")</f>
        <v>#VALUE!</v>
      </c>
    </row>
    <row r="49" spans="1:63" x14ac:dyDescent="0.3">
      <c r="A49">
        <v>133252</v>
      </c>
      <c r="B49">
        <v>5.99</v>
      </c>
      <c r="C49" s="1">
        <v>7982</v>
      </c>
      <c r="D49">
        <v>37.39</v>
      </c>
      <c r="E49">
        <v>2984</v>
      </c>
      <c r="F49">
        <v>66.2</v>
      </c>
      <c r="G49">
        <v>1975</v>
      </c>
      <c r="H49">
        <v>1210</v>
      </c>
      <c r="I49" s="1">
        <v>2389750</v>
      </c>
      <c r="J49">
        <v>1763636</v>
      </c>
      <c r="K49" s="1">
        <v>15660</v>
      </c>
      <c r="L49">
        <v>2</v>
      </c>
      <c r="M49">
        <v>5.2</v>
      </c>
      <c r="N49">
        <v>7.9</v>
      </c>
      <c r="O49">
        <v>610454</v>
      </c>
      <c r="P49">
        <v>3898.17</v>
      </c>
      <c r="Q49" t="s">
        <v>23</v>
      </c>
      <c r="R49" t="s">
        <v>28</v>
      </c>
      <c r="S49" t="s">
        <v>33</v>
      </c>
      <c r="T49" t="s">
        <v>36</v>
      </c>
      <c r="U49" t="s">
        <v>38</v>
      </c>
      <c r="V49" t="s">
        <v>42</v>
      </c>
      <c r="W49" s="2">
        <f t="shared" si="6"/>
        <v>4.4952420976795848E-5</v>
      </c>
      <c r="X49">
        <f t="shared" si="7"/>
        <v>0.37384114257078427</v>
      </c>
      <c r="Y49">
        <f t="shared" si="8"/>
        <v>1.9619143071911802</v>
      </c>
      <c r="Z49">
        <f t="shared" si="9"/>
        <v>418.82856378710886</v>
      </c>
      <c r="AA49" s="4">
        <f t="shared" si="10"/>
        <v>626114</v>
      </c>
      <c r="AB49" s="3">
        <f t="shared" si="11"/>
        <v>151.60217113665391</v>
      </c>
      <c r="AC49" t="str">
        <f>IF(Marketing_data[[#This Row],[ROI]]&gt;0.3,"High ROI","Low ROI")</f>
        <v>High ROI</v>
      </c>
      <c r="AD49" t="e" cm="1" vm="1">
        <f t="array" aca="1" ref="AD49" ca="1">_xlfn.IFS(P:P&gt;0.5,"Excellent",
ROI&gt;0.3,"Good",
ROI&gt;0.1,"Average",
TRUE,"Poor")</f>
        <v>#VALUE!</v>
      </c>
    </row>
    <row r="50" spans="1:63" x14ac:dyDescent="0.3">
      <c r="A50">
        <v>50011</v>
      </c>
      <c r="B50">
        <v>4.76</v>
      </c>
      <c r="C50" s="1">
        <v>2381</v>
      </c>
      <c r="D50">
        <v>49.56</v>
      </c>
      <c r="E50">
        <v>1180</v>
      </c>
      <c r="F50">
        <v>55.1</v>
      </c>
      <c r="G50">
        <v>650</v>
      </c>
      <c r="H50">
        <v>6480</v>
      </c>
      <c r="I50" s="1">
        <v>4212000</v>
      </c>
      <c r="J50">
        <v>3997188</v>
      </c>
      <c r="K50" s="1">
        <v>17748</v>
      </c>
      <c r="L50">
        <v>7.5</v>
      </c>
      <c r="M50">
        <v>15</v>
      </c>
      <c r="N50">
        <v>27.3</v>
      </c>
      <c r="O50">
        <v>197064</v>
      </c>
      <c r="P50">
        <v>1110.3399999999999</v>
      </c>
      <c r="Q50" t="s">
        <v>23</v>
      </c>
      <c r="R50" t="s">
        <v>27</v>
      </c>
      <c r="S50" t="s">
        <v>33</v>
      </c>
      <c r="T50" t="s">
        <v>34</v>
      </c>
      <c r="U50" t="s">
        <v>40</v>
      </c>
      <c r="V50" t="s">
        <v>41</v>
      </c>
      <c r="W50" s="2">
        <f t="shared" si="6"/>
        <v>9.5179060606666527E-5</v>
      </c>
      <c r="X50">
        <f t="shared" si="7"/>
        <v>0.49559008819823602</v>
      </c>
      <c r="Y50">
        <f t="shared" si="8"/>
        <v>7.454010919781604</v>
      </c>
      <c r="Z50">
        <f t="shared" si="9"/>
        <v>358.11138014527842</v>
      </c>
      <c r="AA50" s="4">
        <f t="shared" si="10"/>
        <v>214812</v>
      </c>
      <c r="AB50" s="3">
        <f t="shared" si="11"/>
        <v>236.32251521298176</v>
      </c>
      <c r="AC50" t="str">
        <f>IF(Marketing_data[[#This Row],[ROI]]&gt;0.3,"High ROI","Low ROI")</f>
        <v>High ROI</v>
      </c>
      <c r="AD50" t="e" cm="1" vm="1">
        <f t="array" aca="1" ref="AD50" ca="1">_xlfn.IFS(P:P&gt;0.5,"Excellent",
ROI&gt;0.3,"Good",
ROI&gt;0.1,"Average",
TRUE,"Poor")</f>
        <v>#VALUE!</v>
      </c>
      <c r="BA50" s="5" t="s">
        <v>57</v>
      </c>
      <c r="BB50" t="s">
        <v>65</v>
      </c>
      <c r="BC50" t="s">
        <v>63</v>
      </c>
    </row>
    <row r="51" spans="1:63" x14ac:dyDescent="0.3">
      <c r="A51">
        <v>150242</v>
      </c>
      <c r="B51">
        <v>7.24</v>
      </c>
      <c r="C51" s="1">
        <v>10878</v>
      </c>
      <c r="D51">
        <v>24.62</v>
      </c>
      <c r="E51">
        <v>2678</v>
      </c>
      <c r="F51">
        <v>54.4</v>
      </c>
      <c r="G51">
        <v>1457</v>
      </c>
      <c r="H51">
        <v>960</v>
      </c>
      <c r="I51" s="1">
        <v>1398720</v>
      </c>
      <c r="J51">
        <v>1407112</v>
      </c>
      <c r="K51" s="1">
        <v>21585</v>
      </c>
      <c r="L51">
        <v>2</v>
      </c>
      <c r="M51">
        <v>8.1</v>
      </c>
      <c r="N51">
        <v>14.8</v>
      </c>
      <c r="O51">
        <v>-29977</v>
      </c>
      <c r="P51">
        <v>-138.88</v>
      </c>
      <c r="Q51" t="s">
        <v>23</v>
      </c>
      <c r="R51" t="s">
        <v>26</v>
      </c>
      <c r="S51" t="s">
        <v>31</v>
      </c>
      <c r="T51" t="s">
        <v>34</v>
      </c>
      <c r="U51" t="s">
        <v>40</v>
      </c>
      <c r="V51" t="s">
        <v>41</v>
      </c>
      <c r="W51" s="2">
        <f t="shared" si="6"/>
        <v>4.8188921872712024E-5</v>
      </c>
      <c r="X51">
        <f t="shared" si="7"/>
        <v>0.24618496047067476</v>
      </c>
      <c r="Y51">
        <f t="shared" si="8"/>
        <v>1.9842801985659129</v>
      </c>
      <c r="Z51">
        <f t="shared" si="9"/>
        <v>876.72623883021924</v>
      </c>
      <c r="AA51" s="4">
        <f t="shared" si="10"/>
        <v>-8392</v>
      </c>
      <c r="AB51" s="3">
        <f t="shared" si="11"/>
        <v>63.800555941626129</v>
      </c>
      <c r="AC51" t="str">
        <f>IF(Marketing_data[[#This Row],[ROI]]&gt;0.3,"High ROI","Low ROI")</f>
        <v>Low ROI</v>
      </c>
      <c r="AD51" t="e" cm="1" vm="1">
        <f t="array" aca="1" ref="AD51" ca="1">_xlfn.IFS(P:P&gt;0.5,"Excellent",
ROI&gt;0.3,"Good",
ROI&gt;0.1,"Average",
TRUE,"Poor")</f>
        <v>#VALUE!</v>
      </c>
      <c r="BA51" s="6" t="s">
        <v>43</v>
      </c>
      <c r="BB51">
        <v>806104</v>
      </c>
      <c r="BC51">
        <v>3269.39</v>
      </c>
    </row>
    <row r="52" spans="1:63" x14ac:dyDescent="0.3">
      <c r="A52">
        <v>15678</v>
      </c>
      <c r="B52">
        <v>6.42</v>
      </c>
      <c r="C52" s="1">
        <v>1007</v>
      </c>
      <c r="D52">
        <v>39</v>
      </c>
      <c r="E52">
        <v>393</v>
      </c>
      <c r="F52">
        <v>52</v>
      </c>
      <c r="G52">
        <v>204</v>
      </c>
      <c r="H52">
        <v>940</v>
      </c>
      <c r="I52" s="1">
        <v>191760</v>
      </c>
      <c r="J52">
        <v>176419</v>
      </c>
      <c r="K52" s="1">
        <v>28291</v>
      </c>
      <c r="L52">
        <v>28.1</v>
      </c>
      <c r="M52">
        <v>72</v>
      </c>
      <c r="N52">
        <v>138.69999999999999</v>
      </c>
      <c r="O52">
        <v>-12950</v>
      </c>
      <c r="P52">
        <v>-45.77</v>
      </c>
      <c r="Q52" t="s">
        <v>22</v>
      </c>
      <c r="R52" t="s">
        <v>26</v>
      </c>
      <c r="S52" t="s">
        <v>33</v>
      </c>
      <c r="T52" t="s">
        <v>36</v>
      </c>
      <c r="U52" t="s">
        <v>38</v>
      </c>
      <c r="V52" t="s">
        <v>43</v>
      </c>
      <c r="W52" s="2">
        <f t="shared" si="6"/>
        <v>4.0949100650593186E-4</v>
      </c>
      <c r="X52">
        <f t="shared" si="7"/>
        <v>0.39026812313803377</v>
      </c>
      <c r="Y52">
        <f t="shared" si="8"/>
        <v>28.09433962264151</v>
      </c>
      <c r="Z52">
        <f t="shared" si="9"/>
        <v>725.41025641025647</v>
      </c>
      <c r="AA52" s="4">
        <f t="shared" si="10"/>
        <v>15341</v>
      </c>
      <c r="AB52" s="3">
        <f t="shared" si="11"/>
        <v>5.7781273196422891</v>
      </c>
      <c r="AC52" t="str">
        <f>IF(Marketing_data[[#This Row],[ROI]]&gt;0.3,"High ROI","Low ROI")</f>
        <v>Low ROI</v>
      </c>
      <c r="AD52" t="e" cm="1" vm="1">
        <f t="array" aca="1" ref="AD52" ca="1">_xlfn.IFS(P:P&gt;0.5,"Excellent",
ROI&gt;0.3,"Good",
ROI&gt;0.1,"Average",
TRUE,"Poor")</f>
        <v>#VALUE!</v>
      </c>
      <c r="BA52" s="6" t="s">
        <v>42</v>
      </c>
      <c r="BB52">
        <v>1709093</v>
      </c>
      <c r="BC52">
        <v>10339</v>
      </c>
    </row>
    <row r="53" spans="1:63" x14ac:dyDescent="0.3">
      <c r="A53">
        <v>8778</v>
      </c>
      <c r="B53">
        <v>3.78</v>
      </c>
      <c r="C53" s="1">
        <v>332</v>
      </c>
      <c r="D53">
        <v>44.51</v>
      </c>
      <c r="E53">
        <v>148</v>
      </c>
      <c r="F53">
        <v>61.2</v>
      </c>
      <c r="G53">
        <v>91</v>
      </c>
      <c r="H53">
        <v>980</v>
      </c>
      <c r="I53" s="1">
        <v>89180</v>
      </c>
      <c r="J53">
        <v>83651</v>
      </c>
      <c r="K53" s="1">
        <v>21476</v>
      </c>
      <c r="L53">
        <v>64.7</v>
      </c>
      <c r="M53">
        <v>145.1</v>
      </c>
      <c r="N53">
        <v>236</v>
      </c>
      <c r="O53">
        <v>-15947</v>
      </c>
      <c r="P53">
        <v>-74.25</v>
      </c>
      <c r="Q53" t="s">
        <v>22</v>
      </c>
      <c r="R53" t="s">
        <v>28</v>
      </c>
      <c r="S53" t="s">
        <v>32</v>
      </c>
      <c r="T53" t="s">
        <v>36</v>
      </c>
      <c r="U53" t="s">
        <v>38</v>
      </c>
      <c r="V53" t="s">
        <v>43</v>
      </c>
      <c r="W53" s="2">
        <f t="shared" si="6"/>
        <v>4.3062200956937798E-4</v>
      </c>
      <c r="X53">
        <f t="shared" si="7"/>
        <v>0.44578313253012047</v>
      </c>
      <c r="Y53">
        <f t="shared" si="8"/>
        <v>64.686746987951807</v>
      </c>
      <c r="Z53">
        <f t="shared" si="9"/>
        <v>482.49831498539658</v>
      </c>
      <c r="AA53" s="4">
        <f t="shared" si="10"/>
        <v>5529</v>
      </c>
      <c r="AB53" s="3">
        <f t="shared" si="11"/>
        <v>3.152542372881356</v>
      </c>
      <c r="AC53" t="str">
        <f>IF(Marketing_data[[#This Row],[ROI]]&gt;0.3,"High ROI","Low ROI")</f>
        <v>Low ROI</v>
      </c>
      <c r="AD53" t="e" cm="1" vm="1">
        <f t="array" aca="1" ref="AD53" ca="1">_xlfn.IFS(P:P&gt;0.5,"Excellent",
ROI&gt;0.3,"Good",
ROI&gt;0.1,"Average",
TRUE,"Poor")</f>
        <v>#VALUE!</v>
      </c>
      <c r="BA53" s="6" t="s">
        <v>41</v>
      </c>
      <c r="BB53">
        <v>1680343</v>
      </c>
      <c r="BC53">
        <v>11734.36</v>
      </c>
    </row>
    <row r="54" spans="1:63" x14ac:dyDescent="0.3">
      <c r="A54">
        <v>14045</v>
      </c>
      <c r="B54">
        <v>6.96</v>
      </c>
      <c r="C54" s="1">
        <v>978</v>
      </c>
      <c r="D54">
        <v>52.03</v>
      </c>
      <c r="E54">
        <v>509</v>
      </c>
      <c r="F54">
        <v>47</v>
      </c>
      <c r="G54">
        <v>239</v>
      </c>
      <c r="H54">
        <v>1280</v>
      </c>
      <c r="I54" s="1">
        <v>305920</v>
      </c>
      <c r="J54">
        <v>315098</v>
      </c>
      <c r="K54" s="1">
        <v>37145</v>
      </c>
      <c r="L54">
        <v>38</v>
      </c>
      <c r="M54">
        <v>73</v>
      </c>
      <c r="N54">
        <v>155.4</v>
      </c>
      <c r="O54">
        <v>-46323</v>
      </c>
      <c r="P54">
        <v>-124.71</v>
      </c>
      <c r="Q54" t="s">
        <v>23</v>
      </c>
      <c r="R54" t="s">
        <v>26</v>
      </c>
      <c r="S54" t="s">
        <v>30</v>
      </c>
      <c r="T54" t="s">
        <v>34</v>
      </c>
      <c r="U54" t="s">
        <v>38</v>
      </c>
      <c r="V54" t="s">
        <v>41</v>
      </c>
      <c r="W54" s="2">
        <f t="shared" si="6"/>
        <v>4.9555001779992883E-4</v>
      </c>
      <c r="X54">
        <f t="shared" si="7"/>
        <v>0.5204498977505112</v>
      </c>
      <c r="Y54">
        <f t="shared" si="8"/>
        <v>37.980572597137012</v>
      </c>
      <c r="Z54">
        <f t="shared" si="9"/>
        <v>713.91504901018641</v>
      </c>
      <c r="AA54" s="4">
        <f t="shared" si="10"/>
        <v>-9178</v>
      </c>
      <c r="AB54" s="3">
        <f t="shared" si="11"/>
        <v>7.2358325481222234</v>
      </c>
      <c r="AC54" t="str">
        <f>IF(Marketing_data[[#This Row],[ROI]]&gt;0.3,"High ROI","Low ROI")</f>
        <v>Low ROI</v>
      </c>
      <c r="AD54" t="e" cm="1" vm="1">
        <f t="array" aca="1" ref="AD54" ca="1">_xlfn.IFS(P:P&gt;0.5,"Excellent",
ROI&gt;0.3,"Good",
ROI&gt;0.1,"Average",
TRUE,"Poor")</f>
        <v>#VALUE!</v>
      </c>
      <c r="BA54" s="6" t="s">
        <v>58</v>
      </c>
      <c r="BB54">
        <v>4195540</v>
      </c>
      <c r="BC54">
        <v>25342.75</v>
      </c>
    </row>
    <row r="55" spans="1:63" x14ac:dyDescent="0.3">
      <c r="A55">
        <v>24343</v>
      </c>
      <c r="B55">
        <v>2.86</v>
      </c>
      <c r="C55" s="1">
        <v>696</v>
      </c>
      <c r="D55">
        <v>52.67</v>
      </c>
      <c r="E55">
        <v>367</v>
      </c>
      <c r="F55">
        <v>63.9</v>
      </c>
      <c r="G55">
        <v>235</v>
      </c>
      <c r="H55">
        <v>1150</v>
      </c>
      <c r="I55" s="1">
        <v>270250</v>
      </c>
      <c r="J55">
        <v>224578</v>
      </c>
      <c r="K55" s="1">
        <v>37924</v>
      </c>
      <c r="L55">
        <v>54.5</v>
      </c>
      <c r="M55">
        <v>103.3</v>
      </c>
      <c r="N55">
        <v>161.4</v>
      </c>
      <c r="O55">
        <v>7748</v>
      </c>
      <c r="P55">
        <v>20.43</v>
      </c>
      <c r="Q55" t="s">
        <v>24</v>
      </c>
      <c r="R55" t="s">
        <v>29</v>
      </c>
      <c r="S55" t="s">
        <v>31</v>
      </c>
      <c r="T55" t="s">
        <v>36</v>
      </c>
      <c r="U55" t="s">
        <v>38</v>
      </c>
      <c r="V55" t="s">
        <v>42</v>
      </c>
      <c r="W55" s="2">
        <f t="shared" si="6"/>
        <v>1.1748757342973339E-4</v>
      </c>
      <c r="X55">
        <f t="shared" si="7"/>
        <v>0.5272988505747126</v>
      </c>
      <c r="Y55">
        <f t="shared" si="8"/>
        <v>54.488505747126439</v>
      </c>
      <c r="Z55">
        <f t="shared" si="9"/>
        <v>720.03037782418835</v>
      </c>
      <c r="AA55" s="4">
        <f t="shared" si="10"/>
        <v>45672</v>
      </c>
      <c r="AB55" s="3">
        <f t="shared" si="11"/>
        <v>6.1260942938508594</v>
      </c>
      <c r="AC55" t="str">
        <f>IF(Marketing_data[[#This Row],[ROI]]&gt;0.3,"High ROI","Low ROI")</f>
        <v>High ROI</v>
      </c>
      <c r="AD55" t="e" cm="1" vm="1">
        <f t="array" aca="1" ref="AD55" ca="1">_xlfn.IFS(P:P&gt;0.5,"Excellent",
ROI&gt;0.3,"Good",
ROI&gt;0.1,"Average",
TRUE,"Poor")</f>
        <v>#VALUE!</v>
      </c>
    </row>
    <row r="56" spans="1:63" x14ac:dyDescent="0.3">
      <c r="A56">
        <v>21590</v>
      </c>
      <c r="B56">
        <v>5</v>
      </c>
      <c r="C56" s="1">
        <v>1080</v>
      </c>
      <c r="D56">
        <v>48.13</v>
      </c>
      <c r="E56">
        <v>520</v>
      </c>
      <c r="F56">
        <v>67.7</v>
      </c>
      <c r="G56">
        <v>352</v>
      </c>
      <c r="H56">
        <v>1310</v>
      </c>
      <c r="I56" s="1">
        <v>461120</v>
      </c>
      <c r="J56">
        <v>370279</v>
      </c>
      <c r="K56" s="1">
        <v>24934</v>
      </c>
      <c r="L56">
        <v>23.1</v>
      </c>
      <c r="M56">
        <v>48</v>
      </c>
      <c r="N56">
        <v>70.8</v>
      </c>
      <c r="O56">
        <v>65907</v>
      </c>
      <c r="P56">
        <v>264.33</v>
      </c>
      <c r="Q56" t="s">
        <v>25</v>
      </c>
      <c r="R56" t="s">
        <v>26</v>
      </c>
      <c r="S56" t="s">
        <v>30</v>
      </c>
      <c r="T56" t="s">
        <v>35</v>
      </c>
      <c r="U56" t="s">
        <v>38</v>
      </c>
      <c r="V56" t="s">
        <v>42</v>
      </c>
      <c r="W56" s="2">
        <f t="shared" si="6"/>
        <v>2.3158869847151459E-4</v>
      </c>
      <c r="X56">
        <f t="shared" si="7"/>
        <v>0.48148148148148145</v>
      </c>
      <c r="Y56">
        <f t="shared" si="8"/>
        <v>23.087037037037039</v>
      </c>
      <c r="Z56">
        <f t="shared" si="9"/>
        <v>518.05526698524829</v>
      </c>
      <c r="AA56" s="4">
        <f t="shared" si="10"/>
        <v>90841</v>
      </c>
      <c r="AB56" s="3">
        <f t="shared" si="11"/>
        <v>17.493623165156013</v>
      </c>
      <c r="AC56" t="str">
        <f>IF(Marketing_data[[#This Row],[ROI]]&gt;0.3,"High ROI","Low ROI")</f>
        <v>High ROI</v>
      </c>
      <c r="AD56" t="e" cm="1" vm="1">
        <f t="array" aca="1" ref="AD56" ca="1">_xlfn.IFS(P:P&gt;0.5,"Excellent",
ROI&gt;0.3,"Good",
ROI&gt;0.1,"Average",
TRUE,"Poor")</f>
        <v>#VALUE!</v>
      </c>
    </row>
    <row r="57" spans="1:63" x14ac:dyDescent="0.3">
      <c r="A57">
        <v>15994</v>
      </c>
      <c r="B57">
        <v>3.29</v>
      </c>
      <c r="C57" s="1">
        <v>526</v>
      </c>
      <c r="D57">
        <v>21.09</v>
      </c>
      <c r="E57">
        <v>111</v>
      </c>
      <c r="F57">
        <v>63.6</v>
      </c>
      <c r="G57">
        <v>71</v>
      </c>
      <c r="H57">
        <v>4820</v>
      </c>
      <c r="I57" s="1">
        <v>342220</v>
      </c>
      <c r="J57">
        <v>288834</v>
      </c>
      <c r="K57" s="1">
        <v>29955</v>
      </c>
      <c r="L57">
        <v>56.9</v>
      </c>
      <c r="M57">
        <v>269.89999999999998</v>
      </c>
      <c r="N57">
        <v>421.9</v>
      </c>
      <c r="O57">
        <v>23431</v>
      </c>
      <c r="P57">
        <v>78.22</v>
      </c>
      <c r="Q57" t="s">
        <v>24</v>
      </c>
      <c r="R57" t="s">
        <v>26</v>
      </c>
      <c r="S57" t="s">
        <v>30</v>
      </c>
      <c r="T57" t="s">
        <v>34</v>
      </c>
      <c r="U57" t="s">
        <v>38</v>
      </c>
      <c r="V57" t="s">
        <v>43</v>
      </c>
      <c r="W57" s="2">
        <f t="shared" si="6"/>
        <v>2.057021383018632E-4</v>
      </c>
      <c r="X57">
        <f t="shared" si="7"/>
        <v>0.21102661596958175</v>
      </c>
      <c r="Y57">
        <f t="shared" si="8"/>
        <v>56.948669201520914</v>
      </c>
      <c r="Z57">
        <f t="shared" si="9"/>
        <v>1420.3413940256046</v>
      </c>
      <c r="AA57" s="4">
        <f t="shared" si="10"/>
        <v>53386</v>
      </c>
      <c r="AB57" s="3">
        <f t="shared" si="11"/>
        <v>10.42447003839092</v>
      </c>
      <c r="AC57" t="str">
        <f>IF(Marketing_data[[#This Row],[ROI]]&gt;0.3,"High ROI","Low ROI")</f>
        <v>High ROI</v>
      </c>
      <c r="AD57" t="e" cm="1" vm="1">
        <f t="array" aca="1" ref="AD57" ca="1">_xlfn.IFS(P:P&gt;0.5,"Excellent",
ROI&gt;0.3,"Good",
ROI&gt;0.1,"Average",
TRUE,"Poor")</f>
        <v>#VALUE!</v>
      </c>
      <c r="BI57" s="5" t="s">
        <v>57</v>
      </c>
      <c r="BJ57" t="s">
        <v>66</v>
      </c>
      <c r="BK57" t="s">
        <v>59</v>
      </c>
    </row>
    <row r="58" spans="1:63" x14ac:dyDescent="0.3">
      <c r="A58">
        <v>100710</v>
      </c>
      <c r="B58">
        <v>7.17</v>
      </c>
      <c r="C58" s="1">
        <v>7221</v>
      </c>
      <c r="D58">
        <v>31.77</v>
      </c>
      <c r="E58">
        <v>2294</v>
      </c>
      <c r="F58">
        <v>68</v>
      </c>
      <c r="G58">
        <v>1560</v>
      </c>
      <c r="H58">
        <v>900</v>
      </c>
      <c r="I58" s="1">
        <v>1404000</v>
      </c>
      <c r="J58">
        <v>1024920</v>
      </c>
      <c r="K58" s="1">
        <v>16500</v>
      </c>
      <c r="L58">
        <v>2.2999999999999998</v>
      </c>
      <c r="M58">
        <v>7.2</v>
      </c>
      <c r="N58">
        <v>10.6</v>
      </c>
      <c r="O58">
        <v>362580</v>
      </c>
      <c r="P58">
        <v>2197.4499999999998</v>
      </c>
      <c r="Q58" t="s">
        <v>24</v>
      </c>
      <c r="R58" t="s">
        <v>26</v>
      </c>
      <c r="S58" t="s">
        <v>33</v>
      </c>
      <c r="T58" t="s">
        <v>34</v>
      </c>
      <c r="U58" t="s">
        <v>40</v>
      </c>
      <c r="V58" t="s">
        <v>41</v>
      </c>
      <c r="W58" s="2">
        <f t="shared" si="6"/>
        <v>7.1194518915698534E-5</v>
      </c>
      <c r="X58">
        <f t="shared" si="7"/>
        <v>0.31768453122836171</v>
      </c>
      <c r="Y58">
        <f t="shared" si="8"/>
        <v>2.2850020772746156</v>
      </c>
      <c r="Z58">
        <f t="shared" si="9"/>
        <v>519.35788479697828</v>
      </c>
      <c r="AA58" s="4">
        <f t="shared" si="10"/>
        <v>379080</v>
      </c>
      <c r="AB58" s="3">
        <f t="shared" si="11"/>
        <v>84.090909090909093</v>
      </c>
      <c r="AC58" t="str">
        <f>IF(Marketing_data[[#This Row],[ROI]]&gt;0.3,"High ROI","Low ROI")</f>
        <v>High ROI</v>
      </c>
      <c r="AD58" t="e" cm="1" vm="1">
        <f t="array" aca="1" ref="AD58" ca="1">_xlfn.IFS(P:P&gt;0.5,"Excellent",
ROI&gt;0.3,"Good",
ROI&gt;0.1,"Average",
TRUE,"Poor")</f>
        <v>#VALUE!</v>
      </c>
      <c r="BI58" s="6" t="s">
        <v>35</v>
      </c>
      <c r="BJ58">
        <v>302459</v>
      </c>
      <c r="BK58">
        <v>9615440</v>
      </c>
    </row>
    <row r="59" spans="1:63" x14ac:dyDescent="0.3">
      <c r="A59">
        <v>23156</v>
      </c>
      <c r="B59">
        <v>5.05</v>
      </c>
      <c r="C59" s="1">
        <v>1169</v>
      </c>
      <c r="D59">
        <v>45.59</v>
      </c>
      <c r="E59">
        <v>533</v>
      </c>
      <c r="F59">
        <v>51.5</v>
      </c>
      <c r="G59">
        <v>274</v>
      </c>
      <c r="H59">
        <v>1440</v>
      </c>
      <c r="I59" s="1">
        <v>394560</v>
      </c>
      <c r="J59">
        <v>424152</v>
      </c>
      <c r="K59" s="1">
        <v>20502</v>
      </c>
      <c r="L59">
        <v>17.5</v>
      </c>
      <c r="M59">
        <v>38.5</v>
      </c>
      <c r="N59">
        <v>74.8</v>
      </c>
      <c r="O59">
        <v>-50094</v>
      </c>
      <c r="P59">
        <v>-244.34</v>
      </c>
      <c r="Q59" t="s">
        <v>23</v>
      </c>
      <c r="R59" t="s">
        <v>28</v>
      </c>
      <c r="S59" t="s">
        <v>33</v>
      </c>
      <c r="T59" t="s">
        <v>36</v>
      </c>
      <c r="U59" t="s">
        <v>40</v>
      </c>
      <c r="V59" t="s">
        <v>41</v>
      </c>
      <c r="W59" s="2">
        <f t="shared" si="6"/>
        <v>2.1808602522024528E-4</v>
      </c>
      <c r="X59">
        <f t="shared" si="7"/>
        <v>0.45594525235243799</v>
      </c>
      <c r="Y59">
        <f t="shared" si="8"/>
        <v>17.538066723695465</v>
      </c>
      <c r="Z59">
        <f t="shared" si="9"/>
        <v>449.70388243035751</v>
      </c>
      <c r="AA59" s="4">
        <f t="shared" si="10"/>
        <v>-29592</v>
      </c>
      <c r="AB59" s="3">
        <f t="shared" si="11"/>
        <v>18.244951712028094</v>
      </c>
      <c r="AC59" t="str">
        <f>IF(Marketing_data[[#This Row],[ROI]]&gt;0.3,"High ROI","Low ROI")</f>
        <v>Low ROI</v>
      </c>
      <c r="AD59" t="e" cm="1" vm="1">
        <f t="array" aca="1" ref="AD59" ca="1">_xlfn.IFS(P:P&gt;0.5,"Excellent",
ROI&gt;0.3,"Good",
ROI&gt;0.1,"Average",
TRUE,"Poor")</f>
        <v>#VALUE!</v>
      </c>
      <c r="BI59" s="6" t="s">
        <v>34</v>
      </c>
      <c r="BJ59">
        <v>1209571</v>
      </c>
      <c r="BK59">
        <v>34729460</v>
      </c>
    </row>
    <row r="60" spans="1:63" x14ac:dyDescent="0.3">
      <c r="A60">
        <v>84120</v>
      </c>
      <c r="B60">
        <v>6.82</v>
      </c>
      <c r="C60" s="1">
        <v>5737</v>
      </c>
      <c r="D60">
        <v>19.96</v>
      </c>
      <c r="E60">
        <v>1145</v>
      </c>
      <c r="F60">
        <v>38.4</v>
      </c>
      <c r="G60">
        <v>440</v>
      </c>
      <c r="H60">
        <v>1090</v>
      </c>
      <c r="I60" s="1">
        <v>479600</v>
      </c>
      <c r="J60">
        <v>583194</v>
      </c>
      <c r="K60" s="1">
        <v>19250</v>
      </c>
      <c r="L60">
        <v>3.4</v>
      </c>
      <c r="M60">
        <v>16.8</v>
      </c>
      <c r="N60">
        <v>43.8</v>
      </c>
      <c r="O60">
        <v>-122844</v>
      </c>
      <c r="P60">
        <v>-638.15</v>
      </c>
      <c r="Q60" t="s">
        <v>22</v>
      </c>
      <c r="R60" t="s">
        <v>27</v>
      </c>
      <c r="S60" t="s">
        <v>33</v>
      </c>
      <c r="T60" t="s">
        <v>35</v>
      </c>
      <c r="U60" t="s">
        <v>40</v>
      </c>
      <c r="V60" t="s">
        <v>41</v>
      </c>
      <c r="W60" s="2">
        <f t="shared" si="6"/>
        <v>8.1074655254398487E-5</v>
      </c>
      <c r="X60">
        <f t="shared" si="7"/>
        <v>0.1995816628900122</v>
      </c>
      <c r="Y60">
        <f t="shared" si="8"/>
        <v>3.355412236360467</v>
      </c>
      <c r="Z60">
        <f t="shared" si="9"/>
        <v>964.42885771543081</v>
      </c>
      <c r="AA60" s="4">
        <f t="shared" si="10"/>
        <v>-103594</v>
      </c>
      <c r="AB60" s="3">
        <f t="shared" si="11"/>
        <v>23.914285714285715</v>
      </c>
      <c r="AC60" t="str">
        <f>IF(Marketing_data[[#This Row],[ROI]]&gt;0.3,"High ROI","Low ROI")</f>
        <v>Low ROI</v>
      </c>
      <c r="AD60" t="e" cm="1" vm="1">
        <f t="array" aca="1" ref="AD60" ca="1">_xlfn.IFS(P:P&gt;0.5,"Excellent",
ROI&gt;0.3,"Good",
ROI&gt;0.1,"Average",
TRUE,"Poor")</f>
        <v>#VALUE!</v>
      </c>
      <c r="BI60" s="6" t="s">
        <v>36</v>
      </c>
      <c r="BJ60">
        <v>436300</v>
      </c>
      <c r="BK60">
        <v>10430090</v>
      </c>
    </row>
    <row r="61" spans="1:63" x14ac:dyDescent="0.3">
      <c r="A61">
        <v>7785</v>
      </c>
      <c r="B61">
        <v>3.22</v>
      </c>
      <c r="C61" s="1">
        <v>251</v>
      </c>
      <c r="D61">
        <v>39.74</v>
      </c>
      <c r="E61">
        <v>100</v>
      </c>
      <c r="F61">
        <v>73.900000000000006</v>
      </c>
      <c r="G61">
        <v>74</v>
      </c>
      <c r="H61">
        <v>1470</v>
      </c>
      <c r="I61" s="1">
        <v>108780</v>
      </c>
      <c r="J61">
        <v>80606</v>
      </c>
      <c r="K61" s="1">
        <v>32220</v>
      </c>
      <c r="L61">
        <v>128.4</v>
      </c>
      <c r="M61">
        <v>322.2</v>
      </c>
      <c r="N61">
        <v>435.4</v>
      </c>
      <c r="O61">
        <v>-4046</v>
      </c>
      <c r="P61">
        <v>-12.56</v>
      </c>
      <c r="Q61" t="s">
        <v>23</v>
      </c>
      <c r="R61" t="s">
        <v>27</v>
      </c>
      <c r="S61" t="s">
        <v>31</v>
      </c>
      <c r="T61" t="s">
        <v>34</v>
      </c>
      <c r="U61" t="s">
        <v>40</v>
      </c>
      <c r="V61" t="s">
        <v>42</v>
      </c>
      <c r="W61" s="2">
        <f t="shared" si="6"/>
        <v>4.1361592806679517E-4</v>
      </c>
      <c r="X61">
        <f t="shared" si="7"/>
        <v>0.39840637450199201</v>
      </c>
      <c r="Y61">
        <f t="shared" si="8"/>
        <v>128.36653386454182</v>
      </c>
      <c r="Z61">
        <f t="shared" si="9"/>
        <v>810.77000503271256</v>
      </c>
      <c r="AA61" s="4">
        <f t="shared" si="10"/>
        <v>28174</v>
      </c>
      <c r="AB61" s="3">
        <f t="shared" si="11"/>
        <v>2.3761638733705772</v>
      </c>
      <c r="AC61" t="str">
        <f>IF(Marketing_data[[#This Row],[ROI]]&gt;0.3,"High ROI","Low ROI")</f>
        <v>Low ROI</v>
      </c>
      <c r="AD61" t="e" cm="1" vm="1">
        <f t="array" aca="1" ref="AD61" ca="1">_xlfn.IFS(P:P&gt;0.5,"Excellent",
ROI&gt;0.3,"Good",
ROI&gt;0.1,"Average",
TRUE,"Poor")</f>
        <v>#VALUE!</v>
      </c>
      <c r="BI61" s="6" t="s">
        <v>58</v>
      </c>
      <c r="BJ61">
        <v>1948330</v>
      </c>
      <c r="BK61">
        <v>54774990</v>
      </c>
    </row>
    <row r="62" spans="1:63" x14ac:dyDescent="0.3">
      <c r="A62">
        <v>3395</v>
      </c>
      <c r="B62">
        <v>2.75</v>
      </c>
      <c r="C62" s="1">
        <v>93</v>
      </c>
      <c r="D62">
        <v>21.82</v>
      </c>
      <c r="E62">
        <v>20</v>
      </c>
      <c r="F62">
        <v>78.8</v>
      </c>
      <c r="G62">
        <v>16</v>
      </c>
      <c r="H62">
        <v>980</v>
      </c>
      <c r="I62" s="1">
        <v>15680</v>
      </c>
      <c r="J62">
        <v>11478</v>
      </c>
      <c r="K62" s="1">
        <v>23325</v>
      </c>
      <c r="L62">
        <v>250.8</v>
      </c>
      <c r="M62">
        <v>1166.3</v>
      </c>
      <c r="N62">
        <v>1457.8</v>
      </c>
      <c r="O62">
        <v>-19123</v>
      </c>
      <c r="P62">
        <v>-81.98</v>
      </c>
      <c r="Q62" t="s">
        <v>22</v>
      </c>
      <c r="R62" t="s">
        <v>28</v>
      </c>
      <c r="S62" t="s">
        <v>33</v>
      </c>
      <c r="T62" t="s">
        <v>34</v>
      </c>
      <c r="U62" t="s">
        <v>40</v>
      </c>
      <c r="V62" t="s">
        <v>41</v>
      </c>
      <c r="W62" s="2">
        <f t="shared" si="6"/>
        <v>8.1001472754050079E-4</v>
      </c>
      <c r="X62">
        <f t="shared" si="7"/>
        <v>0.21505376344086022</v>
      </c>
      <c r="Y62">
        <f t="shared" si="8"/>
        <v>250.80645161290323</v>
      </c>
      <c r="Z62">
        <f t="shared" si="9"/>
        <v>1068.9734188817599</v>
      </c>
      <c r="AA62" s="4">
        <f t="shared" si="10"/>
        <v>4202</v>
      </c>
      <c r="AB62" s="3">
        <f t="shared" si="11"/>
        <v>-0.3277599142550911</v>
      </c>
      <c r="AC62" t="str">
        <f>IF(Marketing_data[[#This Row],[ROI]]&gt;0.3,"High ROI","Low ROI")</f>
        <v>Low ROI</v>
      </c>
      <c r="AD62" t="e" cm="1" vm="1">
        <f t="array" aca="1" ref="AD62" ca="1">_xlfn.IFS(P:P&gt;0.5,"Excellent",
ROI&gt;0.3,"Good",
ROI&gt;0.1,"Average",
TRUE,"Poor")</f>
        <v>#VALUE!</v>
      </c>
    </row>
    <row r="63" spans="1:63" x14ac:dyDescent="0.3">
      <c r="A63">
        <v>89322</v>
      </c>
      <c r="B63">
        <v>4.3099999999999996</v>
      </c>
      <c r="C63" s="1">
        <v>3850</v>
      </c>
      <c r="D63">
        <v>31.38</v>
      </c>
      <c r="E63">
        <v>1208</v>
      </c>
      <c r="F63">
        <v>62.1</v>
      </c>
      <c r="G63">
        <v>750</v>
      </c>
      <c r="H63">
        <v>1160</v>
      </c>
      <c r="I63" s="1">
        <v>870000</v>
      </c>
      <c r="J63">
        <v>790830</v>
      </c>
      <c r="K63" s="1">
        <v>9492</v>
      </c>
      <c r="L63">
        <v>2.5</v>
      </c>
      <c r="M63">
        <v>7.9</v>
      </c>
      <c r="N63">
        <v>12.7</v>
      </c>
      <c r="O63">
        <v>69678</v>
      </c>
      <c r="P63">
        <v>734.07</v>
      </c>
      <c r="Q63" t="s">
        <v>23</v>
      </c>
      <c r="R63" t="s">
        <v>27</v>
      </c>
      <c r="S63" t="s">
        <v>32</v>
      </c>
      <c r="T63" t="s">
        <v>34</v>
      </c>
      <c r="U63" t="s">
        <v>39</v>
      </c>
      <c r="V63" t="s">
        <v>41</v>
      </c>
      <c r="W63" s="2">
        <f t="shared" si="6"/>
        <v>4.8252390228611087E-5</v>
      </c>
      <c r="X63">
        <f t="shared" si="7"/>
        <v>0.31376623376623375</v>
      </c>
      <c r="Y63">
        <f t="shared" si="8"/>
        <v>2.4654545454545453</v>
      </c>
      <c r="Z63">
        <f t="shared" si="9"/>
        <v>302.48565965583174</v>
      </c>
      <c r="AA63" s="4">
        <f t="shared" si="10"/>
        <v>79170</v>
      </c>
      <c r="AB63" s="3">
        <f t="shared" si="11"/>
        <v>90.656131479140328</v>
      </c>
      <c r="AC63" t="str">
        <f>IF(Marketing_data[[#This Row],[ROI]]&gt;0.3,"High ROI","Low ROI")</f>
        <v>High ROI</v>
      </c>
      <c r="AD63" t="e" cm="1" vm="1">
        <f t="array" aca="1" ref="AD63" ca="1">_xlfn.IFS(P:P&gt;0.5,"Excellent",
ROI&gt;0.3,"Good",
ROI&gt;0.1,"Average",
TRUE,"Poor")</f>
        <v>#VALUE!</v>
      </c>
    </row>
    <row r="64" spans="1:63" x14ac:dyDescent="0.3">
      <c r="A64">
        <v>79221</v>
      </c>
      <c r="B64">
        <v>3.67</v>
      </c>
      <c r="C64" s="1">
        <v>2907</v>
      </c>
      <c r="D64">
        <v>20.09</v>
      </c>
      <c r="E64">
        <v>584</v>
      </c>
      <c r="F64">
        <v>67.099999999999994</v>
      </c>
      <c r="G64">
        <v>392</v>
      </c>
      <c r="H64">
        <v>1030</v>
      </c>
      <c r="I64" s="1">
        <v>403760</v>
      </c>
      <c r="J64">
        <v>306454</v>
      </c>
      <c r="K64" s="1">
        <v>15884</v>
      </c>
      <c r="L64">
        <v>5.5</v>
      </c>
      <c r="M64">
        <v>27.2</v>
      </c>
      <c r="N64">
        <v>40.5</v>
      </c>
      <c r="O64">
        <v>81422</v>
      </c>
      <c r="P64">
        <v>512.6</v>
      </c>
      <c r="Q64" t="s">
        <v>25</v>
      </c>
      <c r="R64" t="s">
        <v>27</v>
      </c>
      <c r="S64" t="s">
        <v>32</v>
      </c>
      <c r="T64" t="s">
        <v>35</v>
      </c>
      <c r="U64" t="s">
        <v>40</v>
      </c>
      <c r="V64" t="s">
        <v>41</v>
      </c>
      <c r="W64" s="2">
        <f t="shared" si="6"/>
        <v>4.632610040267101E-5</v>
      </c>
      <c r="X64">
        <f t="shared" si="7"/>
        <v>0.20089439284485724</v>
      </c>
      <c r="Y64">
        <f t="shared" si="8"/>
        <v>5.4640522875816995</v>
      </c>
      <c r="Z64">
        <f t="shared" si="9"/>
        <v>790.64211050273764</v>
      </c>
      <c r="AA64" s="4">
        <f t="shared" si="10"/>
        <v>97306</v>
      </c>
      <c r="AB64" s="3">
        <f t="shared" si="11"/>
        <v>24.419289851422814</v>
      </c>
      <c r="AC64" t="str">
        <f>IF(Marketing_data[[#This Row],[ROI]]&gt;0.3,"High ROI","Low ROI")</f>
        <v>High ROI</v>
      </c>
      <c r="AD64" t="e" cm="1" vm="1">
        <f t="array" aca="1" ref="AD64" ca="1">_xlfn.IFS(P:P&gt;0.5,"Excellent",
ROI&gt;0.3,"Good",
ROI&gt;0.1,"Average",
TRUE,"Poor")</f>
        <v>#VALUE!</v>
      </c>
    </row>
    <row r="65" spans="1:30" x14ac:dyDescent="0.3">
      <c r="A65">
        <v>117008</v>
      </c>
      <c r="B65">
        <v>3.25</v>
      </c>
      <c r="C65" s="1">
        <v>3803</v>
      </c>
      <c r="D65">
        <v>43.97</v>
      </c>
      <c r="E65">
        <v>1672</v>
      </c>
      <c r="F65">
        <v>61.3</v>
      </c>
      <c r="G65">
        <v>1025</v>
      </c>
      <c r="H65">
        <v>1280</v>
      </c>
      <c r="I65" s="1">
        <v>1312000</v>
      </c>
      <c r="J65">
        <v>1085024</v>
      </c>
      <c r="K65" s="1">
        <v>26586</v>
      </c>
      <c r="L65">
        <v>7</v>
      </c>
      <c r="M65">
        <v>15.9</v>
      </c>
      <c r="N65">
        <v>25.9</v>
      </c>
      <c r="O65">
        <v>200390</v>
      </c>
      <c r="P65">
        <v>753.74</v>
      </c>
      <c r="Q65" t="s">
        <v>23</v>
      </c>
      <c r="R65" t="s">
        <v>26</v>
      </c>
      <c r="S65" t="s">
        <v>31</v>
      </c>
      <c r="T65" t="s">
        <v>36</v>
      </c>
      <c r="U65" t="s">
        <v>37</v>
      </c>
      <c r="V65" t="s">
        <v>41</v>
      </c>
      <c r="W65" s="2">
        <f t="shared" si="6"/>
        <v>2.7775878572405305E-5</v>
      </c>
      <c r="X65">
        <f t="shared" si="7"/>
        <v>0.43965290560084141</v>
      </c>
      <c r="Y65">
        <f t="shared" si="8"/>
        <v>6.9907967394162505</v>
      </c>
      <c r="Z65">
        <f t="shared" si="9"/>
        <v>604.63952695019339</v>
      </c>
      <c r="AA65" s="4">
        <f t="shared" si="10"/>
        <v>226976</v>
      </c>
      <c r="AB65" s="3">
        <f t="shared" si="11"/>
        <v>48.349281576769727</v>
      </c>
      <c r="AC65" t="str">
        <f>IF(Marketing_data[[#This Row],[ROI]]&gt;0.3,"High ROI","Low ROI")</f>
        <v>High ROI</v>
      </c>
      <c r="AD65" t="e" cm="1" vm="1">
        <f t="array" aca="1" ref="AD65" ca="1">_xlfn.IFS(P:P&gt;0.5,"Excellent",
ROI&gt;0.3,"Good",
ROI&gt;0.1,"Average",
TRUE,"Poor")</f>
        <v>#VALUE!</v>
      </c>
    </row>
    <row r="66" spans="1:30" x14ac:dyDescent="0.3">
      <c r="A66">
        <v>5378</v>
      </c>
      <c r="B66">
        <v>4.01</v>
      </c>
      <c r="C66" s="1">
        <v>216</v>
      </c>
      <c r="D66">
        <v>42.9</v>
      </c>
      <c r="E66">
        <v>93</v>
      </c>
      <c r="F66">
        <v>55.7</v>
      </c>
      <c r="G66">
        <v>52</v>
      </c>
      <c r="H66">
        <v>1160</v>
      </c>
      <c r="I66" s="1">
        <v>60320</v>
      </c>
      <c r="J66">
        <v>53866</v>
      </c>
      <c r="K66" s="1">
        <v>28883</v>
      </c>
      <c r="L66">
        <v>133.69999999999999</v>
      </c>
      <c r="M66">
        <v>310.60000000000002</v>
      </c>
      <c r="N66">
        <v>555.4</v>
      </c>
      <c r="O66">
        <v>-22429</v>
      </c>
      <c r="P66">
        <v>-77.650000000000006</v>
      </c>
      <c r="Q66" t="s">
        <v>25</v>
      </c>
      <c r="R66" t="s">
        <v>29</v>
      </c>
      <c r="S66" t="s">
        <v>33</v>
      </c>
      <c r="T66" t="s">
        <v>34</v>
      </c>
      <c r="U66" t="s">
        <v>37</v>
      </c>
      <c r="V66" t="s">
        <v>42</v>
      </c>
      <c r="W66" s="2">
        <f t="shared" ref="W66:W101" si="12">B66/A66</f>
        <v>7.456303458534771E-4</v>
      </c>
      <c r="X66">
        <f t="shared" ref="X66:X101" si="13">E66/C66</f>
        <v>0.43055555555555558</v>
      </c>
      <c r="Y66">
        <f t="shared" ref="Y66:Y101" si="14">K66/C66</f>
        <v>133.71759259259258</v>
      </c>
      <c r="Z66">
        <f t="shared" ref="Z66:Z101" si="15">K66/D66</f>
        <v>673.26340326340323</v>
      </c>
      <c r="AA66" s="4">
        <f t="shared" ref="AA66:AA101" si="16">I66-J66</f>
        <v>6454</v>
      </c>
      <c r="AB66" s="3">
        <f t="shared" ref="AB66:AB101" si="17">(I66-K66)/K66</f>
        <v>1.088425717550116</v>
      </c>
      <c r="AC66" t="str">
        <f>IF(Marketing_data[[#This Row],[ROI]]&gt;0.3,"High ROI","Low ROI")</f>
        <v>Low ROI</v>
      </c>
      <c r="AD66" t="e" cm="1" vm="1">
        <f t="array" aca="1" ref="AD66" ca="1">_xlfn.IFS(P:P&gt;0.5,"Excellent",
ROI&gt;0.3,"Good",
ROI&gt;0.1,"Average",
TRUE,"Poor")</f>
        <v>#VALUE!</v>
      </c>
    </row>
    <row r="67" spans="1:30" x14ac:dyDescent="0.3">
      <c r="A67">
        <v>3134</v>
      </c>
      <c r="B67">
        <v>5.93</v>
      </c>
      <c r="C67" s="1">
        <v>186</v>
      </c>
      <c r="D67">
        <v>15.61</v>
      </c>
      <c r="E67">
        <v>29</v>
      </c>
      <c r="F67">
        <v>57.2</v>
      </c>
      <c r="G67">
        <v>17</v>
      </c>
      <c r="H67">
        <v>960</v>
      </c>
      <c r="I67" s="1">
        <v>16320</v>
      </c>
      <c r="J67">
        <v>15471</v>
      </c>
      <c r="K67" s="1">
        <v>10320</v>
      </c>
      <c r="L67">
        <v>55.5</v>
      </c>
      <c r="M67">
        <v>355.9</v>
      </c>
      <c r="N67">
        <v>607.1</v>
      </c>
      <c r="O67">
        <v>-9471</v>
      </c>
      <c r="P67">
        <v>-91.77</v>
      </c>
      <c r="Q67" t="s">
        <v>22</v>
      </c>
      <c r="R67" t="s">
        <v>26</v>
      </c>
      <c r="S67" t="s">
        <v>31</v>
      </c>
      <c r="T67" t="s">
        <v>36</v>
      </c>
      <c r="U67" t="s">
        <v>40</v>
      </c>
      <c r="V67" t="s">
        <v>42</v>
      </c>
      <c r="W67" s="2">
        <f t="shared" si="12"/>
        <v>1.8921506062539884E-3</v>
      </c>
      <c r="X67">
        <f t="shared" si="13"/>
        <v>0.15591397849462366</v>
      </c>
      <c r="Y67">
        <f t="shared" si="14"/>
        <v>55.483870967741936</v>
      </c>
      <c r="Z67">
        <f t="shared" si="15"/>
        <v>661.11467008327998</v>
      </c>
      <c r="AA67" s="4">
        <f t="shared" si="16"/>
        <v>849</v>
      </c>
      <c r="AB67" s="3">
        <f t="shared" si="17"/>
        <v>0.58139534883720934</v>
      </c>
      <c r="AC67" t="str">
        <f>IF(Marketing_data[[#This Row],[ROI]]&gt;0.3,"High ROI","Low ROI")</f>
        <v>Low ROI</v>
      </c>
      <c r="AD67" t="e" cm="1" vm="1">
        <f t="array" aca="1" ref="AD67" ca="1">_xlfn.IFS(P:P&gt;0.5,"Excellent",
ROI&gt;0.3,"Good",
ROI&gt;0.1,"Average",
TRUE,"Poor")</f>
        <v>#VALUE!</v>
      </c>
    </row>
    <row r="68" spans="1:30" x14ac:dyDescent="0.3">
      <c r="A68">
        <v>2618</v>
      </c>
      <c r="B68">
        <v>3.22</v>
      </c>
      <c r="C68" s="1">
        <v>84</v>
      </c>
      <c r="D68">
        <v>37.14</v>
      </c>
      <c r="E68">
        <v>31</v>
      </c>
      <c r="F68">
        <v>60.9</v>
      </c>
      <c r="G68">
        <v>19</v>
      </c>
      <c r="H68">
        <v>1390</v>
      </c>
      <c r="I68" s="1">
        <v>26410</v>
      </c>
      <c r="J68">
        <v>23267</v>
      </c>
      <c r="K68" s="1">
        <v>21853</v>
      </c>
      <c r="L68">
        <v>260.2</v>
      </c>
      <c r="M68">
        <v>704.9</v>
      </c>
      <c r="N68">
        <v>1150.2</v>
      </c>
      <c r="O68">
        <v>-18710</v>
      </c>
      <c r="P68">
        <v>-85.62</v>
      </c>
      <c r="Q68" t="s">
        <v>23</v>
      </c>
      <c r="R68" t="s">
        <v>28</v>
      </c>
      <c r="S68" t="s">
        <v>32</v>
      </c>
      <c r="T68" t="s">
        <v>35</v>
      </c>
      <c r="U68" t="s">
        <v>37</v>
      </c>
      <c r="V68" t="s">
        <v>43</v>
      </c>
      <c r="W68" s="2">
        <f t="shared" si="12"/>
        <v>1.2299465240641712E-3</v>
      </c>
      <c r="X68">
        <f t="shared" si="13"/>
        <v>0.36904761904761907</v>
      </c>
      <c r="Y68">
        <f t="shared" si="14"/>
        <v>260.15476190476193</v>
      </c>
      <c r="Z68">
        <f t="shared" si="15"/>
        <v>588.39526117393643</v>
      </c>
      <c r="AA68" s="4">
        <f t="shared" si="16"/>
        <v>3143</v>
      </c>
      <c r="AB68" s="3">
        <f t="shared" si="17"/>
        <v>0.20852972131972727</v>
      </c>
      <c r="AC68" t="str">
        <f>IF(Marketing_data[[#This Row],[ROI]]&gt;0.3,"High ROI","Low ROI")</f>
        <v>Low ROI</v>
      </c>
      <c r="AD68" t="e" cm="1" vm="1">
        <f t="array" aca="1" ref="AD68" ca="1">_xlfn.IFS(P:P&gt;0.5,"Excellent",
ROI&gt;0.3,"Good",
ROI&gt;0.1,"Average",
TRUE,"Poor")</f>
        <v>#VALUE!</v>
      </c>
    </row>
    <row r="69" spans="1:30" x14ac:dyDescent="0.3">
      <c r="A69">
        <v>100710</v>
      </c>
      <c r="B69">
        <v>6.82</v>
      </c>
      <c r="C69" s="1">
        <v>6868</v>
      </c>
      <c r="D69">
        <v>24.82</v>
      </c>
      <c r="E69">
        <v>1705</v>
      </c>
      <c r="F69">
        <v>58.9</v>
      </c>
      <c r="G69">
        <v>1004</v>
      </c>
      <c r="H69">
        <v>1010</v>
      </c>
      <c r="I69" s="1">
        <v>1014040</v>
      </c>
      <c r="J69">
        <v>944071</v>
      </c>
      <c r="K69" s="1">
        <v>22576</v>
      </c>
      <c r="L69">
        <v>3.3</v>
      </c>
      <c r="M69">
        <v>13.2</v>
      </c>
      <c r="N69">
        <v>22.5</v>
      </c>
      <c r="O69">
        <v>47393</v>
      </c>
      <c r="P69">
        <v>209.93</v>
      </c>
      <c r="Q69" t="s">
        <v>24</v>
      </c>
      <c r="R69" t="s">
        <v>26</v>
      </c>
      <c r="S69" t="s">
        <v>30</v>
      </c>
      <c r="T69" t="s">
        <v>34</v>
      </c>
      <c r="U69" t="s">
        <v>37</v>
      </c>
      <c r="V69" t="s">
        <v>41</v>
      </c>
      <c r="W69" s="2">
        <f t="shared" si="12"/>
        <v>6.7719193724555664E-5</v>
      </c>
      <c r="X69">
        <f t="shared" si="13"/>
        <v>0.24825276645311589</v>
      </c>
      <c r="Y69">
        <f t="shared" si="14"/>
        <v>3.2871287128712869</v>
      </c>
      <c r="Z69">
        <f t="shared" si="15"/>
        <v>909.58904109589037</v>
      </c>
      <c r="AA69" s="4">
        <f t="shared" si="16"/>
        <v>69969</v>
      </c>
      <c r="AB69" s="3">
        <f t="shared" si="17"/>
        <v>43.916725726435153</v>
      </c>
      <c r="AC69" t="str">
        <f>IF(Marketing_data[[#This Row],[ROI]]&gt;0.3,"High ROI","Low ROI")</f>
        <v>High ROI</v>
      </c>
      <c r="AD69" t="e" cm="1" vm="1">
        <f t="array" aca="1" ref="AD69" ca="1">_xlfn.IFS(P:P&gt;0.5,"Excellent",
ROI&gt;0.3,"Good",
ROI&gt;0.1,"Average",
TRUE,"Poor")</f>
        <v>#VALUE!</v>
      </c>
    </row>
    <row r="70" spans="1:30" x14ac:dyDescent="0.3">
      <c r="A70">
        <v>6503</v>
      </c>
      <c r="B70">
        <v>3.63</v>
      </c>
      <c r="C70" s="1">
        <v>236</v>
      </c>
      <c r="D70">
        <v>33.56</v>
      </c>
      <c r="E70">
        <v>79</v>
      </c>
      <c r="F70">
        <v>60.6</v>
      </c>
      <c r="G70">
        <v>48</v>
      </c>
      <c r="H70">
        <v>5260</v>
      </c>
      <c r="I70" s="1">
        <v>252480</v>
      </c>
      <c r="J70">
        <v>248440</v>
      </c>
      <c r="K70" s="1">
        <v>5995</v>
      </c>
      <c r="L70">
        <v>25.4</v>
      </c>
      <c r="M70">
        <v>75.900000000000006</v>
      </c>
      <c r="N70">
        <v>124.9</v>
      </c>
      <c r="O70">
        <v>-1955</v>
      </c>
      <c r="P70">
        <v>-32.61</v>
      </c>
      <c r="Q70" t="s">
        <v>24</v>
      </c>
      <c r="R70" t="s">
        <v>28</v>
      </c>
      <c r="S70" t="s">
        <v>31</v>
      </c>
      <c r="T70" t="s">
        <v>34</v>
      </c>
      <c r="U70" t="s">
        <v>39</v>
      </c>
      <c r="V70" t="s">
        <v>41</v>
      </c>
      <c r="W70" s="2">
        <f t="shared" si="12"/>
        <v>5.5820390588958942E-4</v>
      </c>
      <c r="X70">
        <f t="shared" si="13"/>
        <v>0.3347457627118644</v>
      </c>
      <c r="Y70">
        <f t="shared" si="14"/>
        <v>25.402542372881356</v>
      </c>
      <c r="Z70">
        <f t="shared" si="15"/>
        <v>178.63528009535159</v>
      </c>
      <c r="AA70" s="4">
        <f t="shared" si="16"/>
        <v>4040</v>
      </c>
      <c r="AB70" s="3">
        <f t="shared" si="17"/>
        <v>41.115095913261051</v>
      </c>
      <c r="AC70" t="str">
        <f>IF(Marketing_data[[#This Row],[ROI]]&gt;0.3,"High ROI","Low ROI")</f>
        <v>Low ROI</v>
      </c>
      <c r="AD70" t="e" cm="1" vm="1">
        <f t="array" aca="1" ref="AD70" ca="1">_xlfn.IFS(P:P&gt;0.5,"Excellent",
ROI&gt;0.3,"Good",
ROI&gt;0.1,"Average",
TRUE,"Poor")</f>
        <v>#VALUE!</v>
      </c>
    </row>
    <row r="71" spans="1:30" x14ac:dyDescent="0.3">
      <c r="A71">
        <v>1556</v>
      </c>
      <c r="B71">
        <v>2.77</v>
      </c>
      <c r="C71" s="1">
        <v>43</v>
      </c>
      <c r="D71">
        <v>40.409999999999997</v>
      </c>
      <c r="E71">
        <v>17</v>
      </c>
      <c r="F71">
        <v>38</v>
      </c>
      <c r="G71">
        <v>6</v>
      </c>
      <c r="H71">
        <v>2990</v>
      </c>
      <c r="I71" s="1">
        <v>17940</v>
      </c>
      <c r="J71">
        <v>19016</v>
      </c>
      <c r="K71" s="1">
        <v>11080</v>
      </c>
      <c r="L71">
        <v>257.7</v>
      </c>
      <c r="M71">
        <v>651.79999999999995</v>
      </c>
      <c r="N71">
        <v>1846.7</v>
      </c>
      <c r="O71">
        <v>-12156</v>
      </c>
      <c r="P71">
        <v>-109.71</v>
      </c>
      <c r="Q71" t="s">
        <v>23</v>
      </c>
      <c r="R71" t="s">
        <v>29</v>
      </c>
      <c r="S71" t="s">
        <v>32</v>
      </c>
      <c r="T71" t="s">
        <v>34</v>
      </c>
      <c r="U71" t="s">
        <v>39</v>
      </c>
      <c r="V71" t="s">
        <v>41</v>
      </c>
      <c r="W71" s="2">
        <f t="shared" si="12"/>
        <v>1.7802056555269923E-3</v>
      </c>
      <c r="X71">
        <f t="shared" si="13"/>
        <v>0.39534883720930231</v>
      </c>
      <c r="Y71">
        <f t="shared" si="14"/>
        <v>257.67441860465118</v>
      </c>
      <c r="Z71">
        <f t="shared" si="15"/>
        <v>274.18955704033658</v>
      </c>
      <c r="AA71" s="4">
        <f t="shared" si="16"/>
        <v>-1076</v>
      </c>
      <c r="AB71" s="3">
        <f t="shared" si="17"/>
        <v>0.61913357400722024</v>
      </c>
      <c r="AC71" t="str">
        <f>IF(Marketing_data[[#This Row],[ROI]]&gt;0.3,"High ROI","Low ROI")</f>
        <v>Low ROI</v>
      </c>
      <c r="AD71" t="e" cm="1" vm="1">
        <f t="array" aca="1" ref="AD71" ca="1">_xlfn.IFS(P:P&gt;0.5,"Excellent",
ROI&gt;0.3,"Good",
ROI&gt;0.1,"Average",
TRUE,"Poor")</f>
        <v>#VALUE!</v>
      </c>
    </row>
    <row r="72" spans="1:30" x14ac:dyDescent="0.3">
      <c r="A72">
        <v>117008</v>
      </c>
      <c r="B72">
        <v>2.75</v>
      </c>
      <c r="C72" s="1">
        <v>3218</v>
      </c>
      <c r="D72">
        <v>22.11</v>
      </c>
      <c r="E72">
        <v>711</v>
      </c>
      <c r="F72">
        <v>40.799999999999997</v>
      </c>
      <c r="G72">
        <v>290</v>
      </c>
      <c r="H72">
        <v>1120</v>
      </c>
      <c r="I72" s="1">
        <v>324800</v>
      </c>
      <c r="J72">
        <v>374170</v>
      </c>
      <c r="K72" s="1">
        <v>9163</v>
      </c>
      <c r="L72">
        <v>2.8</v>
      </c>
      <c r="M72">
        <v>12.9</v>
      </c>
      <c r="N72">
        <v>31.6</v>
      </c>
      <c r="O72">
        <v>-58533</v>
      </c>
      <c r="P72">
        <v>-638.79999999999995</v>
      </c>
      <c r="Q72" t="s">
        <v>23</v>
      </c>
      <c r="R72" t="s">
        <v>28</v>
      </c>
      <c r="S72" t="s">
        <v>33</v>
      </c>
      <c r="T72" t="s">
        <v>34</v>
      </c>
      <c r="U72" t="s">
        <v>38</v>
      </c>
      <c r="V72" t="s">
        <v>43</v>
      </c>
      <c r="W72" s="2">
        <f t="shared" si="12"/>
        <v>2.3502666484342951E-5</v>
      </c>
      <c r="X72">
        <f t="shared" si="13"/>
        <v>0.22094468614045992</v>
      </c>
      <c r="Y72">
        <f t="shared" si="14"/>
        <v>2.8474207582349287</v>
      </c>
      <c r="Z72">
        <f t="shared" si="15"/>
        <v>414.42786069651743</v>
      </c>
      <c r="AA72" s="4">
        <f t="shared" si="16"/>
        <v>-49370</v>
      </c>
      <c r="AB72" s="3">
        <f t="shared" si="17"/>
        <v>34.446906035141332</v>
      </c>
      <c r="AC72" t="str">
        <f>IF(Marketing_data[[#This Row],[ROI]]&gt;0.3,"High ROI","Low ROI")</f>
        <v>Low ROI</v>
      </c>
      <c r="AD72" t="e" cm="1" vm="1">
        <f t="array" aca="1" ref="AD72" ca="1">_xlfn.IFS(P:P&gt;0.5,"Excellent",
ROI&gt;0.3,"Good",
ROI&gt;0.1,"Average",
TRUE,"Poor")</f>
        <v>#VALUE!</v>
      </c>
    </row>
    <row r="73" spans="1:30" x14ac:dyDescent="0.3">
      <c r="A73">
        <v>86682</v>
      </c>
      <c r="B73">
        <v>4.1399999999999997</v>
      </c>
      <c r="C73" s="1">
        <v>3589</v>
      </c>
      <c r="D73">
        <v>18.350000000000001</v>
      </c>
      <c r="E73">
        <v>659</v>
      </c>
      <c r="F73">
        <v>70.2</v>
      </c>
      <c r="G73">
        <v>463</v>
      </c>
      <c r="H73">
        <v>970</v>
      </c>
      <c r="I73" s="1">
        <v>449110</v>
      </c>
      <c r="J73">
        <v>349408</v>
      </c>
      <c r="K73" s="1">
        <v>13888</v>
      </c>
      <c r="L73">
        <v>3.9</v>
      </c>
      <c r="M73">
        <v>21.1</v>
      </c>
      <c r="N73">
        <v>30</v>
      </c>
      <c r="O73">
        <v>85814</v>
      </c>
      <c r="P73">
        <v>617.9</v>
      </c>
      <c r="Q73" t="s">
        <v>23</v>
      </c>
      <c r="R73" t="s">
        <v>26</v>
      </c>
      <c r="S73" t="s">
        <v>32</v>
      </c>
      <c r="T73" t="s">
        <v>34</v>
      </c>
      <c r="U73" t="s">
        <v>37</v>
      </c>
      <c r="V73" t="s">
        <v>41</v>
      </c>
      <c r="W73" s="2">
        <f t="shared" si="12"/>
        <v>4.7760780784938043E-5</v>
      </c>
      <c r="X73">
        <f t="shared" si="13"/>
        <v>0.18361660629701868</v>
      </c>
      <c r="Y73">
        <f t="shared" si="14"/>
        <v>3.8696015603232099</v>
      </c>
      <c r="Z73">
        <f t="shared" si="15"/>
        <v>756.83923705722066</v>
      </c>
      <c r="AA73" s="4">
        <f t="shared" si="16"/>
        <v>99702</v>
      </c>
      <c r="AB73" s="3">
        <f t="shared" si="17"/>
        <v>31.337989631336406</v>
      </c>
      <c r="AC73" t="str">
        <f>IF(Marketing_data[[#This Row],[ROI]]&gt;0.3,"High ROI","Low ROI")</f>
        <v>High ROI</v>
      </c>
      <c r="AD73" t="e" cm="1" vm="1">
        <f t="array" aca="1" ref="AD73" ca="1">_xlfn.IFS(P:P&gt;0.5,"Excellent",
ROI&gt;0.3,"Good",
ROI&gt;0.1,"Average",
TRUE,"Poor")</f>
        <v>#VALUE!</v>
      </c>
    </row>
    <row r="74" spans="1:30" x14ac:dyDescent="0.3">
      <c r="A74">
        <v>157945</v>
      </c>
      <c r="B74">
        <v>3.74</v>
      </c>
      <c r="C74" s="1">
        <v>5907</v>
      </c>
      <c r="D74">
        <v>32.869999999999997</v>
      </c>
      <c r="E74">
        <v>1942</v>
      </c>
      <c r="F74">
        <v>51.5</v>
      </c>
      <c r="G74">
        <v>1000</v>
      </c>
      <c r="H74">
        <v>960</v>
      </c>
      <c r="I74" s="1">
        <v>960000</v>
      </c>
      <c r="J74">
        <v>955200</v>
      </c>
      <c r="K74" s="1">
        <v>12292</v>
      </c>
      <c r="L74">
        <v>2.1</v>
      </c>
      <c r="M74">
        <v>6.3</v>
      </c>
      <c r="N74">
        <v>12.3</v>
      </c>
      <c r="O74">
        <v>-7492</v>
      </c>
      <c r="P74">
        <v>-60.95</v>
      </c>
      <c r="Q74" t="s">
        <v>23</v>
      </c>
      <c r="R74" t="s">
        <v>27</v>
      </c>
      <c r="S74" t="s">
        <v>31</v>
      </c>
      <c r="T74" t="s">
        <v>34</v>
      </c>
      <c r="U74" t="s">
        <v>37</v>
      </c>
      <c r="V74" t="s">
        <v>41</v>
      </c>
      <c r="W74" s="2">
        <f t="shared" si="12"/>
        <v>2.367912881066194E-5</v>
      </c>
      <c r="X74">
        <f t="shared" si="13"/>
        <v>0.32876248518706619</v>
      </c>
      <c r="Y74">
        <f t="shared" si="14"/>
        <v>2.0809209412561369</v>
      </c>
      <c r="Z74">
        <f t="shared" si="15"/>
        <v>373.95801642835414</v>
      </c>
      <c r="AA74" s="4">
        <f t="shared" si="16"/>
        <v>4800</v>
      </c>
      <c r="AB74" s="3">
        <f t="shared" si="17"/>
        <v>77.099576960624802</v>
      </c>
      <c r="AC74" t="str">
        <f>IF(Marketing_data[[#This Row],[ROI]]&gt;0.3,"High ROI","Low ROI")</f>
        <v>Low ROI</v>
      </c>
      <c r="AD74" t="e" cm="1" vm="1">
        <f t="array" aca="1" ref="AD74" ca="1">_xlfn.IFS(P:P&gt;0.5,"Excellent",
ROI&gt;0.3,"Good",
ROI&gt;0.1,"Average",
TRUE,"Poor")</f>
        <v>#VALUE!</v>
      </c>
    </row>
    <row r="75" spans="1:30" x14ac:dyDescent="0.3">
      <c r="A75">
        <v>3103</v>
      </c>
      <c r="B75">
        <v>4.8099999999999996</v>
      </c>
      <c r="C75" s="1">
        <v>149</v>
      </c>
      <c r="D75">
        <v>47.96</v>
      </c>
      <c r="E75">
        <v>71</v>
      </c>
      <c r="F75">
        <v>43.4</v>
      </c>
      <c r="G75">
        <v>31</v>
      </c>
      <c r="H75">
        <v>1220</v>
      </c>
      <c r="I75" s="1">
        <v>37820</v>
      </c>
      <c r="J75">
        <v>43720</v>
      </c>
      <c r="K75" s="1">
        <v>31000</v>
      </c>
      <c r="L75">
        <v>208.1</v>
      </c>
      <c r="M75">
        <v>436.6</v>
      </c>
      <c r="N75">
        <v>1000</v>
      </c>
      <c r="O75">
        <v>-36900</v>
      </c>
      <c r="P75">
        <v>-119.03</v>
      </c>
      <c r="Q75" t="s">
        <v>22</v>
      </c>
      <c r="R75" t="s">
        <v>29</v>
      </c>
      <c r="S75" t="s">
        <v>33</v>
      </c>
      <c r="T75" t="s">
        <v>34</v>
      </c>
      <c r="U75" t="s">
        <v>40</v>
      </c>
      <c r="V75" t="s">
        <v>41</v>
      </c>
      <c r="W75" s="2">
        <f t="shared" si="12"/>
        <v>1.5501127940702544E-3</v>
      </c>
      <c r="X75">
        <f t="shared" si="13"/>
        <v>0.47651006711409394</v>
      </c>
      <c r="Y75">
        <f t="shared" si="14"/>
        <v>208.05369127516778</v>
      </c>
      <c r="Z75">
        <f t="shared" si="15"/>
        <v>646.371976647206</v>
      </c>
      <c r="AA75" s="4">
        <f t="shared" si="16"/>
        <v>-5900</v>
      </c>
      <c r="AB75" s="3">
        <f t="shared" si="17"/>
        <v>0.22</v>
      </c>
      <c r="AC75" t="str">
        <f>IF(Marketing_data[[#This Row],[ROI]]&gt;0.3,"High ROI","Low ROI")</f>
        <v>Low ROI</v>
      </c>
      <c r="AD75" t="e" cm="1" vm="1">
        <f t="array" aca="1" ref="AD75" ca="1">_xlfn.IFS(P:P&gt;0.5,"Excellent",
ROI&gt;0.3,"Good",
ROI&gt;0.1,"Average",
TRUE,"Poor")</f>
        <v>#VALUE!</v>
      </c>
    </row>
    <row r="76" spans="1:30" x14ac:dyDescent="0.3">
      <c r="A76">
        <v>3944</v>
      </c>
      <c r="B76">
        <v>3.22</v>
      </c>
      <c r="C76" s="1">
        <v>127</v>
      </c>
      <c r="D76">
        <v>30.01</v>
      </c>
      <c r="E76">
        <v>38</v>
      </c>
      <c r="F76">
        <v>72.7</v>
      </c>
      <c r="G76">
        <v>28</v>
      </c>
      <c r="H76">
        <v>1300</v>
      </c>
      <c r="I76" s="1">
        <v>36400</v>
      </c>
      <c r="J76">
        <v>29593</v>
      </c>
      <c r="K76" s="1">
        <v>14655</v>
      </c>
      <c r="L76">
        <v>115.4</v>
      </c>
      <c r="M76">
        <v>385.7</v>
      </c>
      <c r="N76">
        <v>523.4</v>
      </c>
      <c r="O76">
        <v>-7848</v>
      </c>
      <c r="P76">
        <v>-53.55</v>
      </c>
      <c r="Q76" t="s">
        <v>23</v>
      </c>
      <c r="R76" t="s">
        <v>28</v>
      </c>
      <c r="S76" t="s">
        <v>33</v>
      </c>
      <c r="T76" t="s">
        <v>34</v>
      </c>
      <c r="U76" t="s">
        <v>37</v>
      </c>
      <c r="V76" t="s">
        <v>41</v>
      </c>
      <c r="W76" s="2">
        <f t="shared" si="12"/>
        <v>8.1643002028397571E-4</v>
      </c>
      <c r="X76">
        <f t="shared" si="13"/>
        <v>0.29921259842519687</v>
      </c>
      <c r="Y76">
        <f t="shared" si="14"/>
        <v>115.39370078740157</v>
      </c>
      <c r="Z76">
        <f t="shared" si="15"/>
        <v>488.33722092635787</v>
      </c>
      <c r="AA76" s="4">
        <f t="shared" si="16"/>
        <v>6807</v>
      </c>
      <c r="AB76" s="3">
        <f t="shared" si="17"/>
        <v>1.4837939269873763</v>
      </c>
      <c r="AC76" t="str">
        <f>IF(Marketing_data[[#This Row],[ROI]]&gt;0.3,"High ROI","Low ROI")</f>
        <v>Low ROI</v>
      </c>
      <c r="AD76" t="e" cm="1" vm="1">
        <f t="array" aca="1" ref="AD76" ca="1">_xlfn.IFS(P:P&gt;0.5,"Excellent",
ROI&gt;0.3,"Good",
ROI&gt;0.1,"Average",
TRUE,"Poor")</f>
        <v>#VALUE!</v>
      </c>
    </row>
    <row r="77" spans="1:30" x14ac:dyDescent="0.3">
      <c r="A77">
        <v>20952</v>
      </c>
      <c r="B77">
        <v>3.82</v>
      </c>
      <c r="C77" s="1">
        <v>800</v>
      </c>
      <c r="D77">
        <v>31.89</v>
      </c>
      <c r="E77">
        <v>255</v>
      </c>
      <c r="F77">
        <v>64.099999999999994</v>
      </c>
      <c r="G77">
        <v>163</v>
      </c>
      <c r="H77">
        <v>1350</v>
      </c>
      <c r="I77" s="1">
        <v>220050</v>
      </c>
      <c r="J77">
        <v>204426</v>
      </c>
      <c r="K77" s="1">
        <v>23184</v>
      </c>
      <c r="L77">
        <v>29</v>
      </c>
      <c r="M77">
        <v>90.9</v>
      </c>
      <c r="N77">
        <v>142.19999999999999</v>
      </c>
      <c r="O77">
        <v>-7560</v>
      </c>
      <c r="P77">
        <v>-32.61</v>
      </c>
      <c r="Q77" t="s">
        <v>23</v>
      </c>
      <c r="R77" t="s">
        <v>28</v>
      </c>
      <c r="S77" t="s">
        <v>31</v>
      </c>
      <c r="T77" t="s">
        <v>35</v>
      </c>
      <c r="U77" t="s">
        <v>37</v>
      </c>
      <c r="V77" t="s">
        <v>42</v>
      </c>
      <c r="W77" s="2">
        <f t="shared" si="12"/>
        <v>1.8232149675448644E-4</v>
      </c>
      <c r="X77">
        <f t="shared" si="13"/>
        <v>0.31874999999999998</v>
      </c>
      <c r="Y77">
        <f t="shared" si="14"/>
        <v>28.98</v>
      </c>
      <c r="Z77">
        <f t="shared" si="15"/>
        <v>726.99905926622762</v>
      </c>
      <c r="AA77" s="4">
        <f t="shared" si="16"/>
        <v>15624</v>
      </c>
      <c r="AB77" s="3">
        <f t="shared" si="17"/>
        <v>8.491459627329192</v>
      </c>
      <c r="AC77" t="str">
        <f>IF(Marketing_data[[#This Row],[ROI]]&gt;0.3,"High ROI","Low ROI")</f>
        <v>Low ROI</v>
      </c>
      <c r="AD77" t="e" cm="1" vm="1">
        <f t="array" aca="1" ref="AD77" ca="1">_xlfn.IFS(P:P&gt;0.5,"Excellent",
ROI&gt;0.3,"Good",
ROI&gt;0.1,"Average",
TRUE,"Poor")</f>
        <v>#VALUE!</v>
      </c>
    </row>
    <row r="78" spans="1:30" x14ac:dyDescent="0.3">
      <c r="A78">
        <v>80017</v>
      </c>
      <c r="B78">
        <v>6.17</v>
      </c>
      <c r="C78" s="1">
        <v>4937</v>
      </c>
      <c r="D78">
        <v>43.39</v>
      </c>
      <c r="E78">
        <v>2142</v>
      </c>
      <c r="F78">
        <v>72.599999999999994</v>
      </c>
      <c r="G78">
        <v>1555</v>
      </c>
      <c r="H78">
        <v>1450</v>
      </c>
      <c r="I78" s="1">
        <v>2254750</v>
      </c>
      <c r="J78">
        <v>1790272</v>
      </c>
      <c r="K78" s="1">
        <v>32946</v>
      </c>
      <c r="L78">
        <v>6.7</v>
      </c>
      <c r="M78">
        <v>15.4</v>
      </c>
      <c r="N78">
        <v>21.2</v>
      </c>
      <c r="O78">
        <v>431532</v>
      </c>
      <c r="P78">
        <v>1309.82</v>
      </c>
      <c r="Q78" t="s">
        <v>25</v>
      </c>
      <c r="R78" t="s">
        <v>26</v>
      </c>
      <c r="S78" t="s">
        <v>33</v>
      </c>
      <c r="T78" t="s">
        <v>35</v>
      </c>
      <c r="U78" t="s">
        <v>38</v>
      </c>
      <c r="V78" t="s">
        <v>43</v>
      </c>
      <c r="W78" s="2">
        <f t="shared" si="12"/>
        <v>7.7108614419435869E-5</v>
      </c>
      <c r="X78">
        <f t="shared" si="13"/>
        <v>0.43386672068057525</v>
      </c>
      <c r="Y78">
        <f t="shared" si="14"/>
        <v>6.6732833704678951</v>
      </c>
      <c r="Z78">
        <f t="shared" si="15"/>
        <v>759.2993777368057</v>
      </c>
      <c r="AA78" s="4">
        <f t="shared" si="16"/>
        <v>464478</v>
      </c>
      <c r="AB78" s="3">
        <f t="shared" si="17"/>
        <v>67.437746615674129</v>
      </c>
      <c r="AC78" t="str">
        <f>IF(Marketing_data[[#This Row],[ROI]]&gt;0.3,"High ROI","Low ROI")</f>
        <v>High ROI</v>
      </c>
      <c r="AD78" t="e" cm="1" vm="1">
        <f t="array" aca="1" ref="AD78" ca="1">_xlfn.IFS(P:P&gt;0.5,"Excellent",
ROI&gt;0.3,"Good",
ROI&gt;0.1,"Average",
TRUE,"Poor")</f>
        <v>#VALUE!</v>
      </c>
    </row>
    <row r="79" spans="1:30" x14ac:dyDescent="0.3">
      <c r="A79">
        <v>3498</v>
      </c>
      <c r="B79">
        <v>5.0999999999999996</v>
      </c>
      <c r="C79" s="1">
        <v>178</v>
      </c>
      <c r="D79">
        <v>18.3</v>
      </c>
      <c r="E79">
        <v>33</v>
      </c>
      <c r="F79">
        <v>76.7</v>
      </c>
      <c r="G79">
        <v>25</v>
      </c>
      <c r="H79">
        <v>1060</v>
      </c>
      <c r="I79" s="1">
        <v>26500</v>
      </c>
      <c r="J79">
        <v>21280</v>
      </c>
      <c r="K79" s="1">
        <v>12844</v>
      </c>
      <c r="L79">
        <v>72.2</v>
      </c>
      <c r="M79">
        <v>389.2</v>
      </c>
      <c r="N79">
        <v>513.79999999999995</v>
      </c>
      <c r="O79">
        <v>-7624</v>
      </c>
      <c r="P79">
        <v>-59.36</v>
      </c>
      <c r="Q79" t="s">
        <v>23</v>
      </c>
      <c r="R79" t="s">
        <v>26</v>
      </c>
      <c r="S79" t="s">
        <v>30</v>
      </c>
      <c r="T79" t="s">
        <v>34</v>
      </c>
      <c r="U79" t="s">
        <v>40</v>
      </c>
      <c r="V79" t="s">
        <v>42</v>
      </c>
      <c r="W79" s="2">
        <f t="shared" si="12"/>
        <v>1.457975986277873E-3</v>
      </c>
      <c r="X79">
        <f t="shared" si="13"/>
        <v>0.1853932584269663</v>
      </c>
      <c r="Y79">
        <f t="shared" si="14"/>
        <v>72.157303370786522</v>
      </c>
      <c r="Z79">
        <f t="shared" si="15"/>
        <v>701.85792349726773</v>
      </c>
      <c r="AA79" s="4">
        <f t="shared" si="16"/>
        <v>5220</v>
      </c>
      <c r="AB79" s="3">
        <f t="shared" si="17"/>
        <v>1.0632201806290875</v>
      </c>
      <c r="AC79" t="str">
        <f>IF(Marketing_data[[#This Row],[ROI]]&gt;0.3,"High ROI","Low ROI")</f>
        <v>Low ROI</v>
      </c>
      <c r="AD79" t="e" cm="1" vm="1">
        <f t="array" aca="1" ref="AD79" ca="1">_xlfn.IFS(P:P&gt;0.5,"Excellent",
ROI&gt;0.3,"Good",
ROI&gt;0.1,"Average",
TRUE,"Poor")</f>
        <v>#VALUE!</v>
      </c>
    </row>
    <row r="80" spans="1:30" x14ac:dyDescent="0.3">
      <c r="A80">
        <v>5014</v>
      </c>
      <c r="B80">
        <v>2.92</v>
      </c>
      <c r="C80" s="1">
        <v>146</v>
      </c>
      <c r="D80">
        <v>34.26</v>
      </c>
      <c r="E80">
        <v>50</v>
      </c>
      <c r="F80">
        <v>66.400000000000006</v>
      </c>
      <c r="G80">
        <v>33</v>
      </c>
      <c r="H80">
        <v>1280</v>
      </c>
      <c r="I80" s="1">
        <v>42240</v>
      </c>
      <c r="J80">
        <v>34468</v>
      </c>
      <c r="K80" s="1">
        <v>11892</v>
      </c>
      <c r="L80">
        <v>81.5</v>
      </c>
      <c r="M80">
        <v>237.8</v>
      </c>
      <c r="N80">
        <v>360.4</v>
      </c>
      <c r="O80">
        <v>-4120</v>
      </c>
      <c r="P80">
        <v>-34.65</v>
      </c>
      <c r="Q80" t="s">
        <v>25</v>
      </c>
      <c r="R80" t="s">
        <v>28</v>
      </c>
      <c r="S80" t="s">
        <v>30</v>
      </c>
      <c r="T80" t="s">
        <v>34</v>
      </c>
      <c r="U80" t="s">
        <v>38</v>
      </c>
      <c r="V80" t="s">
        <v>41</v>
      </c>
      <c r="W80" s="2">
        <f t="shared" si="12"/>
        <v>5.8236936577582771E-4</v>
      </c>
      <c r="X80">
        <f t="shared" si="13"/>
        <v>0.34246575342465752</v>
      </c>
      <c r="Y80">
        <f t="shared" si="14"/>
        <v>81.452054794520549</v>
      </c>
      <c r="Z80">
        <f t="shared" si="15"/>
        <v>347.11033274956219</v>
      </c>
      <c r="AA80" s="4">
        <f t="shared" si="16"/>
        <v>7772</v>
      </c>
      <c r="AB80" s="3">
        <f t="shared" si="17"/>
        <v>2.5519677093844599</v>
      </c>
      <c r="AC80" t="str">
        <f>IF(Marketing_data[[#This Row],[ROI]]&gt;0.3,"High ROI","Low ROI")</f>
        <v>Low ROI</v>
      </c>
      <c r="AD80" t="e" cm="1" vm="1">
        <f t="array" aca="1" ref="AD80" ca="1">_xlfn.IFS(P:P&gt;0.5,"Excellent",
ROI&gt;0.3,"Good",
ROI&gt;0.1,"Average",
TRUE,"Poor")</f>
        <v>#VALUE!</v>
      </c>
    </row>
    <row r="81" spans="1:30" x14ac:dyDescent="0.3">
      <c r="A81">
        <v>1153</v>
      </c>
      <c r="B81">
        <v>4.26</v>
      </c>
      <c r="C81" s="1">
        <v>49</v>
      </c>
      <c r="D81">
        <v>37.869999999999997</v>
      </c>
      <c r="E81">
        <v>19</v>
      </c>
      <c r="F81">
        <v>66.900000000000006</v>
      </c>
      <c r="G81">
        <v>13</v>
      </c>
      <c r="H81">
        <v>1200</v>
      </c>
      <c r="I81" s="1">
        <v>15600</v>
      </c>
      <c r="J81">
        <v>13120</v>
      </c>
      <c r="K81" s="1">
        <v>21956</v>
      </c>
      <c r="L81">
        <v>448.1</v>
      </c>
      <c r="M81">
        <v>1155.5999999999999</v>
      </c>
      <c r="N81">
        <v>1688.9</v>
      </c>
      <c r="O81">
        <v>-19476</v>
      </c>
      <c r="P81">
        <v>-88.7</v>
      </c>
      <c r="Q81" t="s">
        <v>24</v>
      </c>
      <c r="R81" t="s">
        <v>29</v>
      </c>
      <c r="S81" t="s">
        <v>31</v>
      </c>
      <c r="T81" t="s">
        <v>36</v>
      </c>
      <c r="U81" t="s">
        <v>38</v>
      </c>
      <c r="V81" t="s">
        <v>41</v>
      </c>
      <c r="W81" s="2">
        <f t="shared" si="12"/>
        <v>3.6947094535993061E-3</v>
      </c>
      <c r="X81">
        <f t="shared" si="13"/>
        <v>0.38775510204081631</v>
      </c>
      <c r="Y81">
        <f t="shared" si="14"/>
        <v>448.08163265306121</v>
      </c>
      <c r="Z81">
        <f t="shared" si="15"/>
        <v>579.77290731449705</v>
      </c>
      <c r="AA81" s="4">
        <f t="shared" si="16"/>
        <v>2480</v>
      </c>
      <c r="AB81" s="3">
        <f t="shared" si="17"/>
        <v>-0.28948806704317726</v>
      </c>
      <c r="AC81" t="str">
        <f>IF(Marketing_data[[#This Row],[ROI]]&gt;0.3,"High ROI","Low ROI")</f>
        <v>Low ROI</v>
      </c>
      <c r="AD81" t="e" cm="1" vm="1">
        <f t="array" aca="1" ref="AD81" ca="1">_xlfn.IFS(P:P&gt;0.5,"Excellent",
ROI&gt;0.3,"Good",
ROI&gt;0.1,"Average",
TRUE,"Poor")</f>
        <v>#VALUE!</v>
      </c>
    </row>
    <row r="82" spans="1:30" x14ac:dyDescent="0.3">
      <c r="A82">
        <v>30333</v>
      </c>
      <c r="B82">
        <v>4.8099999999999996</v>
      </c>
      <c r="C82" s="1">
        <v>1459</v>
      </c>
      <c r="D82">
        <v>37.53</v>
      </c>
      <c r="E82">
        <v>548</v>
      </c>
      <c r="F82">
        <v>54.7</v>
      </c>
      <c r="G82">
        <v>300</v>
      </c>
      <c r="H82">
        <v>940</v>
      </c>
      <c r="I82" s="1">
        <v>282000</v>
      </c>
      <c r="J82">
        <v>291306</v>
      </c>
      <c r="K82" s="1">
        <v>16507</v>
      </c>
      <c r="L82">
        <v>11.3</v>
      </c>
      <c r="M82">
        <v>30.1</v>
      </c>
      <c r="N82">
        <v>55</v>
      </c>
      <c r="O82">
        <v>-25813</v>
      </c>
      <c r="P82">
        <v>-156.38</v>
      </c>
      <c r="Q82" t="s">
        <v>22</v>
      </c>
      <c r="R82" t="s">
        <v>27</v>
      </c>
      <c r="S82" t="s">
        <v>32</v>
      </c>
      <c r="T82" t="s">
        <v>34</v>
      </c>
      <c r="U82" t="s">
        <v>39</v>
      </c>
      <c r="V82" t="s">
        <v>41</v>
      </c>
      <c r="W82" s="2">
        <f t="shared" si="12"/>
        <v>1.5857317113374871E-4</v>
      </c>
      <c r="X82">
        <f t="shared" si="13"/>
        <v>0.37559972583961615</v>
      </c>
      <c r="Y82">
        <f t="shared" si="14"/>
        <v>11.313913639479095</v>
      </c>
      <c r="Z82">
        <f t="shared" si="15"/>
        <v>439.83479882760457</v>
      </c>
      <c r="AA82" s="4">
        <f t="shared" si="16"/>
        <v>-9306</v>
      </c>
      <c r="AB82" s="3">
        <f t="shared" si="17"/>
        <v>16.083661476949175</v>
      </c>
      <c r="AC82" t="str">
        <f>IF(Marketing_data[[#This Row],[ROI]]&gt;0.3,"High ROI","Low ROI")</f>
        <v>Low ROI</v>
      </c>
      <c r="AD82" t="e" cm="1" vm="1">
        <f t="array" aca="1" ref="AD82" ca="1">_xlfn.IFS(P:P&gt;0.5,"Excellent",
ROI&gt;0.3,"Good",
ROI&gt;0.1,"Average",
TRUE,"Poor")</f>
        <v>#VALUE!</v>
      </c>
    </row>
    <row r="83" spans="1:30" x14ac:dyDescent="0.3">
      <c r="A83">
        <v>1466</v>
      </c>
      <c r="B83">
        <v>2.83</v>
      </c>
      <c r="C83" s="1">
        <v>41</v>
      </c>
      <c r="D83">
        <v>40.96</v>
      </c>
      <c r="E83">
        <v>17</v>
      </c>
      <c r="F83">
        <v>49.8</v>
      </c>
      <c r="G83">
        <v>8</v>
      </c>
      <c r="H83">
        <v>1300</v>
      </c>
      <c r="I83" s="1">
        <v>10400</v>
      </c>
      <c r="J83">
        <v>10005</v>
      </c>
      <c r="K83" s="1">
        <v>25410</v>
      </c>
      <c r="L83">
        <v>619.79999999999995</v>
      </c>
      <c r="M83">
        <v>1494.7</v>
      </c>
      <c r="N83">
        <v>3176.3</v>
      </c>
      <c r="O83">
        <v>-25015</v>
      </c>
      <c r="P83">
        <v>-98.45</v>
      </c>
      <c r="Q83" t="s">
        <v>23</v>
      </c>
      <c r="R83" t="s">
        <v>27</v>
      </c>
      <c r="S83" t="s">
        <v>31</v>
      </c>
      <c r="T83" t="s">
        <v>35</v>
      </c>
      <c r="U83" t="s">
        <v>38</v>
      </c>
      <c r="V83" t="s">
        <v>43</v>
      </c>
      <c r="W83" s="2">
        <f t="shared" si="12"/>
        <v>1.9304229195088677E-3</v>
      </c>
      <c r="X83">
        <f t="shared" si="13"/>
        <v>0.41463414634146339</v>
      </c>
      <c r="Y83">
        <f t="shared" si="14"/>
        <v>619.7560975609756</v>
      </c>
      <c r="Z83">
        <f t="shared" si="15"/>
        <v>620.361328125</v>
      </c>
      <c r="AA83" s="4">
        <f t="shared" si="16"/>
        <v>395</v>
      </c>
      <c r="AB83" s="3">
        <f t="shared" si="17"/>
        <v>-0.59071231798504531</v>
      </c>
      <c r="AC83" t="str">
        <f>IF(Marketing_data[[#This Row],[ROI]]&gt;0.3,"High ROI","Low ROI")</f>
        <v>Low ROI</v>
      </c>
      <c r="AD83" t="e" cm="1" vm="1">
        <f t="array" aca="1" ref="AD83" ca="1">_xlfn.IFS(P:P&gt;0.5,"Excellent",
ROI&gt;0.3,"Good",
ROI&gt;0.1,"Average",
TRUE,"Poor")</f>
        <v>#VALUE!</v>
      </c>
    </row>
    <row r="84" spans="1:30" x14ac:dyDescent="0.3">
      <c r="A84">
        <v>30638</v>
      </c>
      <c r="B84">
        <v>5.75</v>
      </c>
      <c r="C84" s="1">
        <v>1762</v>
      </c>
      <c r="D84">
        <v>13.6</v>
      </c>
      <c r="E84">
        <v>240</v>
      </c>
      <c r="F84">
        <v>75.3</v>
      </c>
      <c r="G84">
        <v>181</v>
      </c>
      <c r="H84">
        <v>1390</v>
      </c>
      <c r="I84" s="1">
        <v>251590</v>
      </c>
      <c r="J84">
        <v>213097</v>
      </c>
      <c r="K84" s="1">
        <v>11203</v>
      </c>
      <c r="L84">
        <v>6.4</v>
      </c>
      <c r="M84">
        <v>46.7</v>
      </c>
      <c r="N84">
        <v>61.9</v>
      </c>
      <c r="O84">
        <v>27290</v>
      </c>
      <c r="P84">
        <v>243.6</v>
      </c>
      <c r="Q84" t="s">
        <v>25</v>
      </c>
      <c r="R84" t="s">
        <v>28</v>
      </c>
      <c r="S84" t="s">
        <v>30</v>
      </c>
      <c r="T84" t="s">
        <v>34</v>
      </c>
      <c r="U84" t="s">
        <v>38</v>
      </c>
      <c r="V84" t="s">
        <v>41</v>
      </c>
      <c r="W84" s="2">
        <f t="shared" si="12"/>
        <v>1.8767543573340297E-4</v>
      </c>
      <c r="X84">
        <f t="shared" si="13"/>
        <v>0.1362088535754824</v>
      </c>
      <c r="Y84">
        <f t="shared" si="14"/>
        <v>6.3581157775255388</v>
      </c>
      <c r="Z84">
        <f t="shared" si="15"/>
        <v>823.75</v>
      </c>
      <c r="AA84" s="4">
        <f t="shared" si="16"/>
        <v>38493</v>
      </c>
      <c r="AB84" s="3">
        <f t="shared" si="17"/>
        <v>21.45737748817281</v>
      </c>
      <c r="AC84" t="str">
        <f>IF(Marketing_data[[#This Row],[ROI]]&gt;0.3,"High ROI","Low ROI")</f>
        <v>High ROI</v>
      </c>
      <c r="AD84" t="e" cm="1" vm="1">
        <f t="array" aca="1" ref="AD84" ca="1">_xlfn.IFS(P:P&gt;0.5,"Excellent",
ROI&gt;0.3,"Good",
ROI&gt;0.1,"Average",
TRUE,"Poor")</f>
        <v>#VALUE!</v>
      </c>
    </row>
    <row r="85" spans="1:30" x14ac:dyDescent="0.3">
      <c r="A85">
        <v>1772</v>
      </c>
      <c r="B85">
        <v>3.6</v>
      </c>
      <c r="C85" s="1">
        <v>64</v>
      </c>
      <c r="D85">
        <v>44.66</v>
      </c>
      <c r="E85">
        <v>29</v>
      </c>
      <c r="F85">
        <v>66.3</v>
      </c>
      <c r="G85">
        <v>19</v>
      </c>
      <c r="H85">
        <v>1400</v>
      </c>
      <c r="I85" s="1">
        <v>26600</v>
      </c>
      <c r="J85">
        <v>21466</v>
      </c>
      <c r="K85" s="1">
        <v>10575</v>
      </c>
      <c r="L85">
        <v>165.2</v>
      </c>
      <c r="M85">
        <v>364.7</v>
      </c>
      <c r="N85">
        <v>556.6</v>
      </c>
      <c r="O85">
        <v>-5441</v>
      </c>
      <c r="P85">
        <v>-51.45</v>
      </c>
      <c r="Q85" t="s">
        <v>24</v>
      </c>
      <c r="R85" t="s">
        <v>29</v>
      </c>
      <c r="S85" t="s">
        <v>32</v>
      </c>
      <c r="T85" t="s">
        <v>35</v>
      </c>
      <c r="U85" t="s">
        <v>37</v>
      </c>
      <c r="V85" t="s">
        <v>41</v>
      </c>
      <c r="W85" s="2">
        <f t="shared" si="12"/>
        <v>2.0316027088036117E-3</v>
      </c>
      <c r="X85">
        <f t="shared" si="13"/>
        <v>0.453125</v>
      </c>
      <c r="Y85">
        <f t="shared" si="14"/>
        <v>165.234375</v>
      </c>
      <c r="Z85">
        <f t="shared" si="15"/>
        <v>236.78907299596958</v>
      </c>
      <c r="AA85" s="4">
        <f t="shared" si="16"/>
        <v>5134</v>
      </c>
      <c r="AB85" s="3">
        <f t="shared" si="17"/>
        <v>1.5153664302600474</v>
      </c>
      <c r="AC85" t="str">
        <f>IF(Marketing_data[[#This Row],[ROI]]&gt;0.3,"High ROI","Low ROI")</f>
        <v>Low ROI</v>
      </c>
      <c r="AD85" t="e" cm="1" vm="1">
        <f t="array" aca="1" ref="AD85" ca="1">_xlfn.IFS(P:P&gt;0.5,"Excellent",
ROI&gt;0.3,"Good",
ROI&gt;0.1,"Average",
TRUE,"Poor")</f>
        <v>#VALUE!</v>
      </c>
    </row>
    <row r="86" spans="1:30" x14ac:dyDescent="0.3">
      <c r="A86">
        <v>2465</v>
      </c>
      <c r="B86">
        <v>6.55</v>
      </c>
      <c r="C86" s="1">
        <v>161</v>
      </c>
      <c r="D86">
        <v>49.41</v>
      </c>
      <c r="E86">
        <v>80</v>
      </c>
      <c r="F86">
        <v>64.5</v>
      </c>
      <c r="G86">
        <v>52</v>
      </c>
      <c r="H86">
        <v>960</v>
      </c>
      <c r="I86" s="1">
        <v>49920</v>
      </c>
      <c r="J86">
        <v>44179</v>
      </c>
      <c r="K86" s="1">
        <v>19474</v>
      </c>
      <c r="L86">
        <v>121</v>
      </c>
      <c r="M86">
        <v>243.4</v>
      </c>
      <c r="N86">
        <v>374.5</v>
      </c>
      <c r="O86">
        <v>-13733</v>
      </c>
      <c r="P86">
        <v>-70.52</v>
      </c>
      <c r="Q86" t="s">
        <v>22</v>
      </c>
      <c r="R86" t="s">
        <v>27</v>
      </c>
      <c r="S86" t="s">
        <v>31</v>
      </c>
      <c r="T86" t="s">
        <v>35</v>
      </c>
      <c r="U86" t="s">
        <v>40</v>
      </c>
      <c r="V86" t="s">
        <v>41</v>
      </c>
      <c r="W86" s="2">
        <f t="shared" si="12"/>
        <v>2.6572008113590262E-3</v>
      </c>
      <c r="X86">
        <f t="shared" si="13"/>
        <v>0.49689440993788819</v>
      </c>
      <c r="Y86">
        <f t="shared" si="14"/>
        <v>120.95652173913044</v>
      </c>
      <c r="Z86">
        <f t="shared" si="15"/>
        <v>394.1307427646226</v>
      </c>
      <c r="AA86" s="4">
        <f t="shared" si="16"/>
        <v>5741</v>
      </c>
      <c r="AB86" s="3">
        <f t="shared" si="17"/>
        <v>1.5634178905206944</v>
      </c>
      <c r="AC86" t="str">
        <f>IF(Marketing_data[[#This Row],[ROI]]&gt;0.3,"High ROI","Low ROI")</f>
        <v>Low ROI</v>
      </c>
      <c r="AD86" t="e" cm="1" vm="1">
        <f t="array" aca="1" ref="AD86" ca="1">_xlfn.IFS(P:P&gt;0.5,"Excellent",
ROI&gt;0.3,"Good",
ROI&gt;0.1,"Average",
TRUE,"Poor")</f>
        <v>#VALUE!</v>
      </c>
    </row>
    <row r="87" spans="1:30" x14ac:dyDescent="0.3">
      <c r="A87">
        <v>2441</v>
      </c>
      <c r="B87">
        <v>5.87</v>
      </c>
      <c r="C87" s="1">
        <v>143</v>
      </c>
      <c r="D87">
        <v>39.71</v>
      </c>
      <c r="E87">
        <v>57</v>
      </c>
      <c r="F87">
        <v>71.3</v>
      </c>
      <c r="G87">
        <v>41</v>
      </c>
      <c r="H87">
        <v>1190</v>
      </c>
      <c r="I87" s="1">
        <v>48790</v>
      </c>
      <c r="J87">
        <v>43277</v>
      </c>
      <c r="K87" s="1">
        <v>24776</v>
      </c>
      <c r="L87">
        <v>173.3</v>
      </c>
      <c r="M87">
        <v>434.7</v>
      </c>
      <c r="N87">
        <v>604.29999999999995</v>
      </c>
      <c r="O87">
        <v>-19263</v>
      </c>
      <c r="P87">
        <v>-77.75</v>
      </c>
      <c r="Q87" t="s">
        <v>22</v>
      </c>
      <c r="R87" t="s">
        <v>26</v>
      </c>
      <c r="S87" t="s">
        <v>30</v>
      </c>
      <c r="T87" t="s">
        <v>34</v>
      </c>
      <c r="U87" t="s">
        <v>37</v>
      </c>
      <c r="V87" t="s">
        <v>41</v>
      </c>
      <c r="W87" s="2">
        <f t="shared" si="12"/>
        <v>2.4047521507578862E-3</v>
      </c>
      <c r="X87">
        <f t="shared" si="13"/>
        <v>0.39860139860139859</v>
      </c>
      <c r="Y87">
        <f t="shared" si="14"/>
        <v>173.25874125874125</v>
      </c>
      <c r="Z87">
        <f t="shared" si="15"/>
        <v>623.92344497607655</v>
      </c>
      <c r="AA87" s="4">
        <f t="shared" si="16"/>
        <v>5513</v>
      </c>
      <c r="AB87" s="3">
        <f t="shared" si="17"/>
        <v>0.96924443009363903</v>
      </c>
      <c r="AC87" t="str">
        <f>IF(Marketing_data[[#This Row],[ROI]]&gt;0.3,"High ROI","Low ROI")</f>
        <v>Low ROI</v>
      </c>
      <c r="AD87" t="e" cm="1" vm="1">
        <f t="array" aca="1" ref="AD87" ca="1">_xlfn.IFS(P:P&gt;0.5,"Excellent",
ROI&gt;0.3,"Good",
ROI&gt;0.1,"Average",
TRUE,"Poor")</f>
        <v>#VALUE!</v>
      </c>
    </row>
    <row r="88" spans="1:30" x14ac:dyDescent="0.3">
      <c r="A88">
        <v>7187</v>
      </c>
      <c r="B88">
        <v>5.26</v>
      </c>
      <c r="C88" s="1">
        <v>378</v>
      </c>
      <c r="D88">
        <v>28.02</v>
      </c>
      <c r="E88">
        <v>106</v>
      </c>
      <c r="F88">
        <v>60.8</v>
      </c>
      <c r="G88">
        <v>64</v>
      </c>
      <c r="H88">
        <v>900</v>
      </c>
      <c r="I88" s="1">
        <v>57600</v>
      </c>
      <c r="J88">
        <v>47923</v>
      </c>
      <c r="K88" s="1">
        <v>17888</v>
      </c>
      <c r="L88">
        <v>47.3</v>
      </c>
      <c r="M88">
        <v>168.8</v>
      </c>
      <c r="N88">
        <v>279.5</v>
      </c>
      <c r="O88">
        <v>-8211</v>
      </c>
      <c r="P88">
        <v>-45.9</v>
      </c>
      <c r="Q88" t="s">
        <v>23</v>
      </c>
      <c r="R88" t="s">
        <v>28</v>
      </c>
      <c r="S88" t="s">
        <v>31</v>
      </c>
      <c r="T88" t="s">
        <v>34</v>
      </c>
      <c r="U88" t="s">
        <v>37</v>
      </c>
      <c r="V88" t="s">
        <v>43</v>
      </c>
      <c r="W88" s="2">
        <f t="shared" si="12"/>
        <v>7.3187700013914014E-4</v>
      </c>
      <c r="X88">
        <f t="shared" si="13"/>
        <v>0.28042328042328041</v>
      </c>
      <c r="Y88">
        <f t="shared" si="14"/>
        <v>47.322751322751323</v>
      </c>
      <c r="Z88">
        <f t="shared" si="15"/>
        <v>638.401142041399</v>
      </c>
      <c r="AA88" s="4">
        <f t="shared" si="16"/>
        <v>9677</v>
      </c>
      <c r="AB88" s="3">
        <f t="shared" si="17"/>
        <v>2.2200357781753133</v>
      </c>
      <c r="AC88" t="str">
        <f>IF(Marketing_data[[#This Row],[ROI]]&gt;0.3,"High ROI","Low ROI")</f>
        <v>Low ROI</v>
      </c>
      <c r="AD88" t="e" cm="1" vm="1">
        <f t="array" aca="1" ref="AD88" ca="1">_xlfn.IFS(P:P&gt;0.5,"Excellent",
ROI&gt;0.3,"Good",
ROI&gt;0.1,"Average",
TRUE,"Poor")</f>
        <v>#VALUE!</v>
      </c>
    </row>
    <row r="89" spans="1:30" x14ac:dyDescent="0.3">
      <c r="A89">
        <v>117008</v>
      </c>
      <c r="B89">
        <v>5.42</v>
      </c>
      <c r="C89" s="1">
        <v>6342</v>
      </c>
      <c r="D89">
        <v>33.229999999999997</v>
      </c>
      <c r="E89">
        <v>2107</v>
      </c>
      <c r="F89">
        <v>49.8</v>
      </c>
      <c r="G89">
        <v>1049</v>
      </c>
      <c r="H89">
        <v>1050</v>
      </c>
      <c r="I89" s="1">
        <v>1101450</v>
      </c>
      <c r="J89">
        <v>1081624</v>
      </c>
      <c r="K89" s="1">
        <v>21120</v>
      </c>
      <c r="L89">
        <v>3.3</v>
      </c>
      <c r="M89">
        <v>10</v>
      </c>
      <c r="N89">
        <v>20.100000000000001</v>
      </c>
      <c r="O89">
        <v>-1294</v>
      </c>
      <c r="P89">
        <v>-6.13</v>
      </c>
      <c r="Q89" t="s">
        <v>25</v>
      </c>
      <c r="R89" t="s">
        <v>29</v>
      </c>
      <c r="S89" t="s">
        <v>30</v>
      </c>
      <c r="T89" t="s">
        <v>34</v>
      </c>
      <c r="U89" t="s">
        <v>38</v>
      </c>
      <c r="V89" t="s">
        <v>43</v>
      </c>
      <c r="W89" s="2">
        <f t="shared" si="12"/>
        <v>4.6321619034595921E-5</v>
      </c>
      <c r="X89">
        <f t="shared" si="13"/>
        <v>0.33222958057395141</v>
      </c>
      <c r="Y89">
        <f t="shared" si="14"/>
        <v>3.3301797540208136</v>
      </c>
      <c r="Z89">
        <f t="shared" si="15"/>
        <v>635.57026783027391</v>
      </c>
      <c r="AA89" s="4">
        <f t="shared" si="16"/>
        <v>19826</v>
      </c>
      <c r="AB89" s="3">
        <f t="shared" si="17"/>
        <v>51.151988636363633</v>
      </c>
      <c r="AC89" t="str">
        <f>IF(Marketing_data[[#This Row],[ROI]]&gt;0.3,"High ROI","Low ROI")</f>
        <v>Low ROI</v>
      </c>
      <c r="AD89" t="e" cm="1" vm="1">
        <f t="array" aca="1" ref="AD89" ca="1">_xlfn.IFS(P:P&gt;0.5,"Excellent",
ROI&gt;0.3,"Good",
ROI&gt;0.1,"Average",
TRUE,"Poor")</f>
        <v>#VALUE!</v>
      </c>
    </row>
    <row r="90" spans="1:30" x14ac:dyDescent="0.3">
      <c r="A90">
        <v>78433</v>
      </c>
      <c r="B90">
        <v>3.06</v>
      </c>
      <c r="C90" s="1">
        <v>2400</v>
      </c>
      <c r="D90">
        <v>54.62</v>
      </c>
      <c r="E90">
        <v>1311</v>
      </c>
      <c r="F90">
        <v>60.6</v>
      </c>
      <c r="G90">
        <v>794</v>
      </c>
      <c r="H90">
        <v>1240</v>
      </c>
      <c r="I90" s="1">
        <v>984560</v>
      </c>
      <c r="J90">
        <v>830969</v>
      </c>
      <c r="K90" s="1">
        <v>18180</v>
      </c>
      <c r="L90">
        <v>7.6</v>
      </c>
      <c r="M90">
        <v>13.9</v>
      </c>
      <c r="N90">
        <v>22.9</v>
      </c>
      <c r="O90">
        <v>135411</v>
      </c>
      <c r="P90">
        <v>744.83</v>
      </c>
      <c r="Q90" t="s">
        <v>25</v>
      </c>
      <c r="R90" t="s">
        <v>28</v>
      </c>
      <c r="S90" t="s">
        <v>33</v>
      </c>
      <c r="T90" t="s">
        <v>36</v>
      </c>
      <c r="U90" t="s">
        <v>40</v>
      </c>
      <c r="V90" t="s">
        <v>41</v>
      </c>
      <c r="W90" s="2">
        <f t="shared" si="12"/>
        <v>3.901419045554805E-5</v>
      </c>
      <c r="X90">
        <f t="shared" si="13"/>
        <v>0.54625000000000001</v>
      </c>
      <c r="Y90">
        <f t="shared" si="14"/>
        <v>7.5750000000000002</v>
      </c>
      <c r="Z90">
        <f t="shared" si="15"/>
        <v>332.84511168070304</v>
      </c>
      <c r="AA90" s="4">
        <f t="shared" si="16"/>
        <v>153591</v>
      </c>
      <c r="AB90" s="3">
        <f t="shared" si="17"/>
        <v>53.156215621562154</v>
      </c>
      <c r="AC90" t="str">
        <f>IF(Marketing_data[[#This Row],[ROI]]&gt;0.3,"High ROI","Low ROI")</f>
        <v>High ROI</v>
      </c>
      <c r="AD90" t="e" cm="1" vm="1">
        <f t="array" aca="1" ref="AD90" ca="1">_xlfn.IFS(P:P&gt;0.5,"Excellent",
ROI&gt;0.3,"Good",
ROI&gt;0.1,"Average",
TRUE,"Poor")</f>
        <v>#VALUE!</v>
      </c>
    </row>
    <row r="91" spans="1:30" x14ac:dyDescent="0.3">
      <c r="A91">
        <v>11849</v>
      </c>
      <c r="B91">
        <v>6.82</v>
      </c>
      <c r="C91" s="1">
        <v>808</v>
      </c>
      <c r="D91">
        <v>31.87</v>
      </c>
      <c r="E91">
        <v>258</v>
      </c>
      <c r="F91">
        <v>60.3</v>
      </c>
      <c r="G91">
        <v>156</v>
      </c>
      <c r="H91">
        <v>990</v>
      </c>
      <c r="I91" s="1">
        <v>154440</v>
      </c>
      <c r="J91">
        <v>126177</v>
      </c>
      <c r="K91" s="1">
        <v>20664</v>
      </c>
      <c r="L91">
        <v>25.6</v>
      </c>
      <c r="M91">
        <v>80.099999999999994</v>
      </c>
      <c r="N91">
        <v>132.5</v>
      </c>
      <c r="O91">
        <v>7599</v>
      </c>
      <c r="P91">
        <v>36.770000000000003</v>
      </c>
      <c r="Q91" t="s">
        <v>24</v>
      </c>
      <c r="R91" t="s">
        <v>28</v>
      </c>
      <c r="S91" t="s">
        <v>33</v>
      </c>
      <c r="T91" t="s">
        <v>34</v>
      </c>
      <c r="U91" t="s">
        <v>37</v>
      </c>
      <c r="V91" t="s">
        <v>41</v>
      </c>
      <c r="W91" s="2">
        <f t="shared" si="12"/>
        <v>5.7557599797451264E-4</v>
      </c>
      <c r="X91">
        <f t="shared" si="13"/>
        <v>0.31930693069306931</v>
      </c>
      <c r="Y91">
        <f t="shared" si="14"/>
        <v>25.574257425742573</v>
      </c>
      <c r="Z91">
        <f t="shared" si="15"/>
        <v>648.38406024474421</v>
      </c>
      <c r="AA91" s="4">
        <f t="shared" si="16"/>
        <v>28263</v>
      </c>
      <c r="AB91" s="3">
        <f t="shared" si="17"/>
        <v>6.473867595818815</v>
      </c>
      <c r="AC91" t="str">
        <f>IF(Marketing_data[[#This Row],[ROI]]&gt;0.3,"High ROI","Low ROI")</f>
        <v>High ROI</v>
      </c>
      <c r="AD91" t="e" cm="1" vm="1">
        <f t="array" aca="1" ref="AD91" ca="1">_xlfn.IFS(P:P&gt;0.5,"Excellent",
ROI&gt;0.3,"Good",
ROI&gt;0.1,"Average",
TRUE,"Poor")</f>
        <v>#VALUE!</v>
      </c>
    </row>
    <row r="92" spans="1:30" x14ac:dyDescent="0.3">
      <c r="A92">
        <v>133252</v>
      </c>
      <c r="B92">
        <v>4.3499999999999996</v>
      </c>
      <c r="C92" s="1">
        <v>5796</v>
      </c>
      <c r="D92">
        <v>28.64</v>
      </c>
      <c r="E92">
        <v>1660</v>
      </c>
      <c r="F92">
        <v>59.3</v>
      </c>
      <c r="G92">
        <v>984</v>
      </c>
      <c r="H92">
        <v>1030</v>
      </c>
      <c r="I92" s="1">
        <v>1013520</v>
      </c>
      <c r="J92">
        <v>969939</v>
      </c>
      <c r="K92" s="1">
        <v>20052</v>
      </c>
      <c r="L92">
        <v>3.5</v>
      </c>
      <c r="M92">
        <v>12.1</v>
      </c>
      <c r="N92">
        <v>20.399999999999999</v>
      </c>
      <c r="O92">
        <v>23529</v>
      </c>
      <c r="P92">
        <v>117.34</v>
      </c>
      <c r="Q92" t="s">
        <v>23</v>
      </c>
      <c r="R92" t="s">
        <v>28</v>
      </c>
      <c r="S92" t="s">
        <v>32</v>
      </c>
      <c r="T92" t="s">
        <v>34</v>
      </c>
      <c r="U92" t="s">
        <v>38</v>
      </c>
      <c r="V92" t="s">
        <v>41</v>
      </c>
      <c r="W92" s="2">
        <f t="shared" si="12"/>
        <v>3.264491339717227E-5</v>
      </c>
      <c r="X92">
        <f t="shared" si="13"/>
        <v>0.28640441683919943</v>
      </c>
      <c r="Y92">
        <f t="shared" si="14"/>
        <v>3.4596273291925468</v>
      </c>
      <c r="Z92">
        <f t="shared" si="15"/>
        <v>700.13966480446925</v>
      </c>
      <c r="AA92" s="4">
        <f t="shared" si="16"/>
        <v>43581</v>
      </c>
      <c r="AB92" s="3">
        <f t="shared" si="17"/>
        <v>49.544584081388393</v>
      </c>
      <c r="AC92" t="str">
        <f>IF(Marketing_data[[#This Row],[ROI]]&gt;0.3,"High ROI","Low ROI")</f>
        <v>High ROI</v>
      </c>
      <c r="AD92" t="e" cm="1" vm="1">
        <f t="array" aca="1" ref="AD92" ca="1">_xlfn.IFS(P:P&gt;0.5,"Excellent",
ROI&gt;0.3,"Good",
ROI&gt;0.1,"Average",
TRUE,"Poor")</f>
        <v>#VALUE!</v>
      </c>
    </row>
    <row r="93" spans="1:30" x14ac:dyDescent="0.3">
      <c r="A93">
        <v>2208</v>
      </c>
      <c r="B93">
        <v>3.86</v>
      </c>
      <c r="C93" s="1">
        <v>85</v>
      </c>
      <c r="D93">
        <v>15.16</v>
      </c>
      <c r="E93">
        <v>13</v>
      </c>
      <c r="F93">
        <v>66.5</v>
      </c>
      <c r="G93">
        <v>9</v>
      </c>
      <c r="H93">
        <v>1420</v>
      </c>
      <c r="I93" s="1">
        <v>12780</v>
      </c>
      <c r="J93">
        <v>9649</v>
      </c>
      <c r="K93" s="1">
        <v>24192</v>
      </c>
      <c r="L93">
        <v>284.60000000000002</v>
      </c>
      <c r="M93">
        <v>1860.9</v>
      </c>
      <c r="N93">
        <v>2688</v>
      </c>
      <c r="O93">
        <v>-21061</v>
      </c>
      <c r="P93">
        <v>-87.06</v>
      </c>
      <c r="Q93" t="s">
        <v>25</v>
      </c>
      <c r="R93" t="s">
        <v>26</v>
      </c>
      <c r="S93" t="s">
        <v>32</v>
      </c>
      <c r="T93" t="s">
        <v>36</v>
      </c>
      <c r="U93" t="s">
        <v>40</v>
      </c>
      <c r="V93" t="s">
        <v>43</v>
      </c>
      <c r="W93" s="2">
        <f t="shared" si="12"/>
        <v>1.7481884057971013E-3</v>
      </c>
      <c r="X93">
        <f t="shared" si="13"/>
        <v>0.15294117647058825</v>
      </c>
      <c r="Y93">
        <f t="shared" si="14"/>
        <v>284.61176470588236</v>
      </c>
      <c r="Z93">
        <f t="shared" si="15"/>
        <v>1595.778364116095</v>
      </c>
      <c r="AA93" s="4">
        <f t="shared" si="16"/>
        <v>3131</v>
      </c>
      <c r="AB93" s="3">
        <f t="shared" si="17"/>
        <v>-0.47172619047619047</v>
      </c>
      <c r="AC93" t="str">
        <f>IF(Marketing_data[[#This Row],[ROI]]&gt;0.3,"High ROI","Low ROI")</f>
        <v>Low ROI</v>
      </c>
      <c r="AD93" t="e" cm="1" vm="1">
        <f t="array" aca="1" ref="AD93" ca="1">_xlfn.IFS(P:P&gt;0.5,"Excellent",
ROI&gt;0.3,"Good",
ROI&gt;0.1,"Average",
TRUE,"Poor")</f>
        <v>#VALUE!</v>
      </c>
    </row>
    <row r="94" spans="1:30" x14ac:dyDescent="0.3">
      <c r="A94">
        <v>3072</v>
      </c>
      <c r="B94">
        <v>3</v>
      </c>
      <c r="C94" s="1">
        <v>92</v>
      </c>
      <c r="D94">
        <v>50.9</v>
      </c>
      <c r="E94">
        <v>47</v>
      </c>
      <c r="F94">
        <v>48.8</v>
      </c>
      <c r="G94">
        <v>23</v>
      </c>
      <c r="H94">
        <v>1310</v>
      </c>
      <c r="I94" s="1">
        <v>30130</v>
      </c>
      <c r="J94">
        <v>28684</v>
      </c>
      <c r="K94" s="1">
        <v>10790</v>
      </c>
      <c r="L94">
        <v>117.3</v>
      </c>
      <c r="M94">
        <v>229.6</v>
      </c>
      <c r="N94">
        <v>469.1</v>
      </c>
      <c r="O94">
        <v>-9344</v>
      </c>
      <c r="P94">
        <v>-86.6</v>
      </c>
      <c r="Q94" t="s">
        <v>23</v>
      </c>
      <c r="R94" t="s">
        <v>27</v>
      </c>
      <c r="S94" t="s">
        <v>30</v>
      </c>
      <c r="T94" t="s">
        <v>35</v>
      </c>
      <c r="U94" t="s">
        <v>38</v>
      </c>
      <c r="V94" t="s">
        <v>42</v>
      </c>
      <c r="W94" s="2">
        <f t="shared" si="12"/>
        <v>9.765625E-4</v>
      </c>
      <c r="X94">
        <f t="shared" si="13"/>
        <v>0.51086956521739135</v>
      </c>
      <c r="Y94">
        <f t="shared" si="14"/>
        <v>117.28260869565217</v>
      </c>
      <c r="Z94">
        <f t="shared" si="15"/>
        <v>211.98428290766208</v>
      </c>
      <c r="AA94" s="4">
        <f t="shared" si="16"/>
        <v>1446</v>
      </c>
      <c r="AB94" s="3">
        <f t="shared" si="17"/>
        <v>1.7924003707136238</v>
      </c>
      <c r="AC94" t="str">
        <f>IF(Marketing_data[[#This Row],[ROI]]&gt;0.3,"High ROI","Low ROI")</f>
        <v>Low ROI</v>
      </c>
      <c r="AD94" t="e" cm="1" vm="1">
        <f t="array" aca="1" ref="AD94" ca="1">_xlfn.IFS(P:P&gt;0.5,"Excellent",
ROI&gt;0.3,"Good",
ROI&gt;0.1,"Average",
TRUE,"Poor")</f>
        <v>#VALUE!</v>
      </c>
    </row>
    <row r="95" spans="1:30" x14ac:dyDescent="0.3">
      <c r="A95">
        <v>1466</v>
      </c>
      <c r="B95">
        <v>5.37</v>
      </c>
      <c r="C95" s="1">
        <v>79</v>
      </c>
      <c r="D95">
        <v>17.32</v>
      </c>
      <c r="E95">
        <v>14</v>
      </c>
      <c r="F95">
        <v>78.5</v>
      </c>
      <c r="G95">
        <v>11</v>
      </c>
      <c r="H95">
        <v>1100</v>
      </c>
      <c r="I95" s="1">
        <v>12100</v>
      </c>
      <c r="J95">
        <v>8652</v>
      </c>
      <c r="K95" s="1">
        <v>13486</v>
      </c>
      <c r="L95">
        <v>170.7</v>
      </c>
      <c r="M95">
        <v>963.3</v>
      </c>
      <c r="N95">
        <v>1226</v>
      </c>
      <c r="O95">
        <v>-10038</v>
      </c>
      <c r="P95">
        <v>-74.430000000000007</v>
      </c>
      <c r="Q95" t="s">
        <v>24</v>
      </c>
      <c r="R95" t="s">
        <v>27</v>
      </c>
      <c r="S95" t="s">
        <v>31</v>
      </c>
      <c r="T95" t="s">
        <v>34</v>
      </c>
      <c r="U95" t="s">
        <v>38</v>
      </c>
      <c r="V95" t="s">
        <v>41</v>
      </c>
      <c r="W95" s="2">
        <f t="shared" si="12"/>
        <v>3.6630286493860849E-3</v>
      </c>
      <c r="X95">
        <f t="shared" si="13"/>
        <v>0.17721518987341772</v>
      </c>
      <c r="Y95">
        <f t="shared" si="14"/>
        <v>170.70886075949366</v>
      </c>
      <c r="Z95">
        <f t="shared" si="15"/>
        <v>778.63741339491912</v>
      </c>
      <c r="AA95" s="4">
        <f t="shared" si="16"/>
        <v>3448</v>
      </c>
      <c r="AB95" s="3">
        <f t="shared" si="17"/>
        <v>-0.10277324632952692</v>
      </c>
      <c r="AC95" t="str">
        <f>IF(Marketing_data[[#This Row],[ROI]]&gt;0.3,"High ROI","Low ROI")</f>
        <v>Low ROI</v>
      </c>
      <c r="AD95" t="e" cm="1" vm="1">
        <f t="array" aca="1" ref="AD95" ca="1">_xlfn.IFS(P:P&gt;0.5,"Excellent",
ROI&gt;0.3,"Good",
ROI&gt;0.1,"Average",
TRUE,"Poor")</f>
        <v>#VALUE!</v>
      </c>
    </row>
    <row r="96" spans="1:30" x14ac:dyDescent="0.3">
      <c r="A96">
        <v>73130</v>
      </c>
      <c r="B96">
        <v>5.37</v>
      </c>
      <c r="C96" s="1">
        <v>3927</v>
      </c>
      <c r="D96">
        <v>41.31</v>
      </c>
      <c r="E96">
        <v>1622</v>
      </c>
      <c r="F96">
        <v>76.5</v>
      </c>
      <c r="G96">
        <v>1241</v>
      </c>
      <c r="H96">
        <v>980</v>
      </c>
      <c r="I96" s="1">
        <v>1216180</v>
      </c>
      <c r="J96">
        <v>820922</v>
      </c>
      <c r="K96" s="1">
        <v>13850</v>
      </c>
      <c r="L96">
        <v>3.5</v>
      </c>
      <c r="M96">
        <v>8.5</v>
      </c>
      <c r="N96">
        <v>11.2</v>
      </c>
      <c r="O96">
        <v>381408</v>
      </c>
      <c r="P96">
        <v>2753.85</v>
      </c>
      <c r="Q96" t="s">
        <v>25</v>
      </c>
      <c r="R96" t="s">
        <v>26</v>
      </c>
      <c r="S96" t="s">
        <v>30</v>
      </c>
      <c r="T96" t="s">
        <v>34</v>
      </c>
      <c r="U96" t="s">
        <v>39</v>
      </c>
      <c r="V96" t="s">
        <v>41</v>
      </c>
      <c r="W96" s="2">
        <f t="shared" si="12"/>
        <v>7.343087652126351E-5</v>
      </c>
      <c r="X96">
        <f t="shared" si="13"/>
        <v>0.41303794244970715</v>
      </c>
      <c r="Y96">
        <f t="shared" si="14"/>
        <v>3.5268652915711738</v>
      </c>
      <c r="Z96">
        <f t="shared" si="15"/>
        <v>335.26991043330912</v>
      </c>
      <c r="AA96" s="4">
        <f t="shared" si="16"/>
        <v>395258</v>
      </c>
      <c r="AB96" s="3">
        <f t="shared" si="17"/>
        <v>86.810830324909745</v>
      </c>
      <c r="AC96" t="str">
        <f>IF(Marketing_data[[#This Row],[ROI]]&gt;0.3,"High ROI","Low ROI")</f>
        <v>High ROI</v>
      </c>
      <c r="AD96" t="e" cm="1" vm="1">
        <f t="array" aca="1" ref="AD96" ca="1">_xlfn.IFS(P:P&gt;0.5,"Excellent",
ROI&gt;0.3,"Good",
ROI&gt;0.1,"Average",
TRUE,"Poor")</f>
        <v>#VALUE!</v>
      </c>
    </row>
    <row r="97" spans="1:30" x14ac:dyDescent="0.3">
      <c r="A97">
        <v>131926</v>
      </c>
      <c r="B97">
        <v>2.92</v>
      </c>
      <c r="C97" s="1">
        <v>3852</v>
      </c>
      <c r="D97">
        <v>47.51</v>
      </c>
      <c r="E97">
        <v>1830</v>
      </c>
      <c r="F97">
        <v>46</v>
      </c>
      <c r="G97">
        <v>842</v>
      </c>
      <c r="H97">
        <v>3570</v>
      </c>
      <c r="I97" s="1">
        <v>3005940</v>
      </c>
      <c r="J97">
        <v>3306534</v>
      </c>
      <c r="K97" s="1">
        <v>22545</v>
      </c>
      <c r="L97">
        <v>5.9</v>
      </c>
      <c r="M97">
        <v>12.3</v>
      </c>
      <c r="N97">
        <v>26.8</v>
      </c>
      <c r="O97">
        <v>-323139</v>
      </c>
      <c r="P97">
        <v>-1433.31</v>
      </c>
      <c r="Q97" t="s">
        <v>25</v>
      </c>
      <c r="R97" t="s">
        <v>29</v>
      </c>
      <c r="S97" t="s">
        <v>32</v>
      </c>
      <c r="T97" t="s">
        <v>34</v>
      </c>
      <c r="U97" t="s">
        <v>40</v>
      </c>
      <c r="V97" t="s">
        <v>41</v>
      </c>
      <c r="W97" s="2">
        <f t="shared" si="12"/>
        <v>2.2133620362930733E-5</v>
      </c>
      <c r="X97">
        <f t="shared" si="13"/>
        <v>0.47507788161993769</v>
      </c>
      <c r="Y97">
        <f t="shared" si="14"/>
        <v>5.8528037383177569</v>
      </c>
      <c r="Z97">
        <f t="shared" si="15"/>
        <v>474.53167754157022</v>
      </c>
      <c r="AA97" s="4">
        <f t="shared" si="16"/>
        <v>-300594</v>
      </c>
      <c r="AB97" s="3">
        <f t="shared" si="17"/>
        <v>132.33067198935461</v>
      </c>
      <c r="AC97" t="str">
        <f>IF(Marketing_data[[#This Row],[ROI]]&gt;0.3,"High ROI","Low ROI")</f>
        <v>Low ROI</v>
      </c>
      <c r="AD97" t="e" cm="1" vm="1">
        <f t="array" aca="1" ref="AD97" ca="1">_xlfn.IFS(P:P&gt;0.5,"Excellent",
ROI&gt;0.3,"Good",
ROI&gt;0.1,"Average",
TRUE,"Poor")</f>
        <v>#VALUE!</v>
      </c>
    </row>
    <row r="98" spans="1:30" x14ac:dyDescent="0.3">
      <c r="A98">
        <v>22026</v>
      </c>
      <c r="B98">
        <v>3.29</v>
      </c>
      <c r="C98" s="1">
        <v>725</v>
      </c>
      <c r="D98">
        <v>28.26</v>
      </c>
      <c r="E98">
        <v>205</v>
      </c>
      <c r="F98">
        <v>56.1</v>
      </c>
      <c r="G98">
        <v>115</v>
      </c>
      <c r="H98">
        <v>1280</v>
      </c>
      <c r="I98" s="1">
        <v>147200</v>
      </c>
      <c r="J98">
        <v>138221</v>
      </c>
      <c r="K98" s="1">
        <v>8762</v>
      </c>
      <c r="L98">
        <v>12.1</v>
      </c>
      <c r="M98">
        <v>42.7</v>
      </c>
      <c r="N98">
        <v>76.2</v>
      </c>
      <c r="O98">
        <v>217</v>
      </c>
      <c r="P98">
        <v>2.48</v>
      </c>
      <c r="Q98" t="s">
        <v>22</v>
      </c>
      <c r="R98" t="s">
        <v>28</v>
      </c>
      <c r="S98" t="s">
        <v>31</v>
      </c>
      <c r="T98" t="s">
        <v>34</v>
      </c>
      <c r="U98" t="s">
        <v>39</v>
      </c>
      <c r="V98" t="s">
        <v>41</v>
      </c>
      <c r="W98" s="2">
        <f t="shared" si="12"/>
        <v>1.4936892763098156E-4</v>
      </c>
      <c r="X98">
        <f t="shared" si="13"/>
        <v>0.28275862068965518</v>
      </c>
      <c r="Y98">
        <f t="shared" si="14"/>
        <v>12.085517241379311</v>
      </c>
      <c r="Z98">
        <f t="shared" si="15"/>
        <v>310.04953998584568</v>
      </c>
      <c r="AA98" s="4">
        <f t="shared" si="16"/>
        <v>8979</v>
      </c>
      <c r="AB98" s="3">
        <f t="shared" si="17"/>
        <v>15.799817393289203</v>
      </c>
      <c r="AC98" t="str">
        <f>IF(Marketing_data[[#This Row],[ROI]]&gt;0.3,"High ROI","Low ROI")</f>
        <v>High ROI</v>
      </c>
      <c r="AD98" t="e" cm="1" vm="1">
        <f t="array" aca="1" ref="AD98" ca="1">_xlfn.IFS(P:P&gt;0.5,"Excellent",
ROI&gt;0.3,"Good",
ROI&gt;0.1,"Average",
TRUE,"Poor")</f>
        <v>#VALUE!</v>
      </c>
    </row>
    <row r="99" spans="1:30" x14ac:dyDescent="0.3">
      <c r="A99">
        <v>8022</v>
      </c>
      <c r="B99">
        <v>7.03</v>
      </c>
      <c r="C99" s="1">
        <v>564</v>
      </c>
      <c r="D99">
        <v>34.31</v>
      </c>
      <c r="E99">
        <v>194</v>
      </c>
      <c r="F99">
        <v>46.2</v>
      </c>
      <c r="G99">
        <v>90</v>
      </c>
      <c r="H99">
        <v>940</v>
      </c>
      <c r="I99" s="1">
        <v>84600</v>
      </c>
      <c r="J99">
        <v>86969</v>
      </c>
      <c r="K99" s="1">
        <v>8850</v>
      </c>
      <c r="L99">
        <v>15.7</v>
      </c>
      <c r="M99">
        <v>45.6</v>
      </c>
      <c r="N99">
        <v>98.3</v>
      </c>
      <c r="O99">
        <v>-11219</v>
      </c>
      <c r="P99">
        <v>-126.77</v>
      </c>
      <c r="Q99" t="s">
        <v>24</v>
      </c>
      <c r="R99" t="s">
        <v>26</v>
      </c>
      <c r="S99" t="s">
        <v>30</v>
      </c>
      <c r="T99" t="s">
        <v>34</v>
      </c>
      <c r="U99" t="s">
        <v>39</v>
      </c>
      <c r="V99" t="s">
        <v>43</v>
      </c>
      <c r="W99" s="2">
        <f t="shared" si="12"/>
        <v>8.7634006482174029E-4</v>
      </c>
      <c r="X99">
        <f t="shared" si="13"/>
        <v>0.34397163120567376</v>
      </c>
      <c r="Y99">
        <f t="shared" si="14"/>
        <v>15.691489361702128</v>
      </c>
      <c r="Z99">
        <f t="shared" si="15"/>
        <v>257.94229087729525</v>
      </c>
      <c r="AA99" s="4">
        <f t="shared" si="16"/>
        <v>-2369</v>
      </c>
      <c r="AB99" s="3">
        <f t="shared" si="17"/>
        <v>8.5593220338983045</v>
      </c>
      <c r="AC99" t="str">
        <f>IF(Marketing_data[[#This Row],[ROI]]&gt;0.3,"High ROI","Low ROI")</f>
        <v>Low ROI</v>
      </c>
      <c r="AD99" t="e" cm="1" vm="1">
        <f t="array" aca="1" ref="AD99" ca="1">_xlfn.IFS(P:P&gt;0.5,"Excellent",
ROI&gt;0.3,"Good",
ROI&gt;0.1,"Average",
TRUE,"Poor")</f>
        <v>#VALUE!</v>
      </c>
    </row>
    <row r="100" spans="1:30" x14ac:dyDescent="0.3">
      <c r="A100">
        <v>157945</v>
      </c>
      <c r="B100">
        <v>3.29</v>
      </c>
      <c r="C100" s="1">
        <v>5196</v>
      </c>
      <c r="D100">
        <v>49.22</v>
      </c>
      <c r="E100">
        <v>2557</v>
      </c>
      <c r="F100">
        <v>57</v>
      </c>
      <c r="G100">
        <v>1457</v>
      </c>
      <c r="H100">
        <v>1310</v>
      </c>
      <c r="I100" s="1">
        <v>1908670</v>
      </c>
      <c r="J100">
        <v>1660543</v>
      </c>
      <c r="K100" s="1">
        <v>8020</v>
      </c>
      <c r="L100">
        <v>1.5</v>
      </c>
      <c r="M100">
        <v>3.1</v>
      </c>
      <c r="N100">
        <v>5.5</v>
      </c>
      <c r="O100">
        <v>240107</v>
      </c>
      <c r="P100">
        <v>2993.85</v>
      </c>
      <c r="Q100" t="s">
        <v>22</v>
      </c>
      <c r="R100" t="s">
        <v>27</v>
      </c>
      <c r="S100" t="s">
        <v>33</v>
      </c>
      <c r="T100" t="s">
        <v>35</v>
      </c>
      <c r="U100" t="s">
        <v>37</v>
      </c>
      <c r="V100" t="s">
        <v>41</v>
      </c>
      <c r="W100" s="2">
        <f t="shared" si="12"/>
        <v>2.0830035771945931E-5</v>
      </c>
      <c r="X100">
        <f t="shared" si="13"/>
        <v>0.49210931485758275</v>
      </c>
      <c r="Y100">
        <f t="shared" si="14"/>
        <v>1.5434949961508853</v>
      </c>
      <c r="Z100">
        <f t="shared" si="15"/>
        <v>162.94189353921172</v>
      </c>
      <c r="AA100" s="4">
        <f t="shared" si="16"/>
        <v>248127</v>
      </c>
      <c r="AB100" s="3">
        <f t="shared" si="17"/>
        <v>236.98877805486285</v>
      </c>
      <c r="AC100" t="str">
        <f>IF(Marketing_data[[#This Row],[ROI]]&gt;0.3,"High ROI","Low ROI")</f>
        <v>High ROI</v>
      </c>
      <c r="AD100" t="e" cm="1" vm="1">
        <f t="array" aca="1" ref="AD100" ca="1">_xlfn.IFS(P:P&gt;0.5,"Excellent",
ROI&gt;0.3,"Good",
ROI&gt;0.1,"Average",
TRUE,"Poor")</f>
        <v>#VALUE!</v>
      </c>
    </row>
    <row r="101" spans="1:30" x14ac:dyDescent="0.3">
      <c r="A101">
        <v>1153</v>
      </c>
      <c r="B101">
        <v>3.16</v>
      </c>
      <c r="C101" s="1">
        <v>36</v>
      </c>
      <c r="D101">
        <v>49.93</v>
      </c>
      <c r="E101">
        <v>18</v>
      </c>
      <c r="F101">
        <v>62.4</v>
      </c>
      <c r="G101">
        <v>11</v>
      </c>
      <c r="H101">
        <v>1360</v>
      </c>
      <c r="I101" s="1">
        <v>14960</v>
      </c>
      <c r="J101">
        <v>14003</v>
      </c>
      <c r="K101" s="1">
        <v>18608</v>
      </c>
      <c r="L101">
        <v>516.9</v>
      </c>
      <c r="M101">
        <v>1033.8</v>
      </c>
      <c r="N101">
        <v>1691.6</v>
      </c>
      <c r="O101">
        <v>-17651</v>
      </c>
      <c r="P101">
        <v>-94.86</v>
      </c>
      <c r="Q101" t="s">
        <v>24</v>
      </c>
      <c r="R101" t="s">
        <v>29</v>
      </c>
      <c r="S101" t="s">
        <v>32</v>
      </c>
      <c r="T101" t="s">
        <v>34</v>
      </c>
      <c r="U101" t="s">
        <v>38</v>
      </c>
      <c r="V101" t="s">
        <v>41</v>
      </c>
      <c r="W101" s="2">
        <f t="shared" si="12"/>
        <v>2.7406764960971378E-3</v>
      </c>
      <c r="X101">
        <f t="shared" si="13"/>
        <v>0.5</v>
      </c>
      <c r="Y101">
        <f t="shared" si="14"/>
        <v>516.88888888888891</v>
      </c>
      <c r="Z101">
        <f t="shared" si="15"/>
        <v>372.68175445623876</v>
      </c>
      <c r="AA101" s="4">
        <f t="shared" si="16"/>
        <v>957</v>
      </c>
      <c r="AB101" s="3">
        <f t="shared" si="17"/>
        <v>-0.19604471195184867</v>
      </c>
      <c r="AC101" t="str">
        <f>IF(Marketing_data[[#This Row],[ROI]]&gt;0.3,"High ROI","Low ROI")</f>
        <v>Low ROI</v>
      </c>
      <c r="AD101" t="e" cm="1" vm="1">
        <f t="array" aca="1" ref="AD101" ca="1">_xlfn.IFS(P:P&gt;0.5,"Excellent",
ROI&gt;0.3,"Good",
ROI&gt;0.1,"Average",
TRUE,"Poor")</f>
        <v>#VALUE!</v>
      </c>
    </row>
  </sheetData>
  <phoneticPr fontId="2" type="noConversion"/>
  <pageMargins left="0.7" right="0.7" top="0.75" bottom="0.75" header="0.3" footer="0.3"/>
  <drawing r:id="rId8"/>
  <tableParts count="1">
    <tablePart r:id="rId9"/>
  </tableParts>
  <extLst>
    <ext xmlns:x15="http://schemas.microsoft.com/office/spreadsheetml/2010/11/main" uri="{3A4CF648-6AED-40f4-86FF-DC5316D8AED3}">
      <x14:slicerList xmlns:x14="http://schemas.microsoft.com/office/spreadsheetml/2009/9/main">
        <x14:slicer r:id="rId10"/>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E1CE96-EB52-49F0-AC93-980E9A4F9DC7}">
  <dimension ref="B3:G8"/>
  <sheetViews>
    <sheetView showGridLines="0" tabSelected="1" workbookViewId="0">
      <selection activeCell="B8" sqref="B8:C8"/>
    </sheetView>
  </sheetViews>
  <sheetFormatPr defaultRowHeight="14.4" x14ac:dyDescent="0.3"/>
  <cols>
    <col min="3" max="3" width="20.33203125" customWidth="1"/>
    <col min="4" max="4" width="11.5546875" bestFit="1" customWidth="1"/>
  </cols>
  <sheetData>
    <row r="3" spans="2:7" ht="28.8" x14ac:dyDescent="0.55000000000000004">
      <c r="C3" s="7" t="s">
        <v>71</v>
      </c>
      <c r="D3" s="8"/>
      <c r="E3" s="8"/>
      <c r="F3" s="8"/>
      <c r="G3" s="8"/>
    </row>
    <row r="4" spans="2:7" x14ac:dyDescent="0.3">
      <c r="C4" t="s">
        <v>67</v>
      </c>
      <c r="D4" s="1">
        <v>54774990</v>
      </c>
    </row>
    <row r="5" spans="2:7" x14ac:dyDescent="0.3">
      <c r="C5" t="s">
        <v>68</v>
      </c>
      <c r="D5" s="1">
        <v>199030</v>
      </c>
    </row>
    <row r="6" spans="2:7" x14ac:dyDescent="0.3">
      <c r="C6" t="s">
        <v>69</v>
      </c>
      <c r="D6">
        <v>62616</v>
      </c>
    </row>
    <row r="7" spans="2:7" x14ac:dyDescent="0.3">
      <c r="C7" t="s">
        <v>70</v>
      </c>
      <c r="D7">
        <v>253.4274999999999</v>
      </c>
    </row>
    <row r="8" spans="2:7" ht="23.4" x14ac:dyDescent="0.45">
      <c r="B8" s="9" t="s">
        <v>72</v>
      </c>
      <c r="C8" s="10"/>
    </row>
  </sheetData>
  <mergeCells count="2">
    <mergeCell ref="C3:G3"/>
    <mergeCell ref="B8:C8"/>
  </mergeCells>
  <pageMargins left="0.7" right="0.7" top="0.75" bottom="0.75" header="0.3" footer="0.3"/>
  <drawing r:id="rId1"/>
  <extLst>
    <ext xmlns:x15="http://schemas.microsoft.com/office/spreadsheetml/2010/11/main" uri="{3A4CF648-6AED-40f4-86FF-DC5316D8AED3}">
      <x14:slicerList xmlns:x14="http://schemas.microsoft.com/office/spreadsheetml/2009/9/main">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D26DE662-47F5-45B1-83A6-744F5086794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Marketing_data</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Shayantha Das</cp:lastModifiedBy>
  <dcterms:created xsi:type="dcterms:W3CDTF">2026-03-12T14:16:52Z</dcterms:created>
  <dcterms:modified xsi:type="dcterms:W3CDTF">2026-03-15T07:27:15Z</dcterms:modified>
</cp:coreProperties>
</file>